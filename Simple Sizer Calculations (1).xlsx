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codiottechno-my.sharepoint.com/personal/abhiram_deshpande_codiot_com/Documents/Microsoft Teams Chat Files/"/>
    </mc:Choice>
  </mc:AlternateContent>
  <xr:revisionPtr revIDLastSave="0" documentId="8_{10AD37F1-9F7C-44F4-B514-5E8A68CA3543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rental" sheetId="1" r:id="rId1"/>
    <sheet name="Bridge" sheetId="2" r:id="rId2"/>
    <sheet name="GUC" sheetId="3" r:id="rId3"/>
    <sheet name="New changes GUC (24-01)" sheetId="7" r:id="rId4"/>
    <sheet name="FNF w Rehab" sheetId="4" r:id="rId5"/>
    <sheet name="DSCR " sheetId="5" r:id="rId6"/>
    <sheet name="DSCR (fixed)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de/XJTvdZqIne0GF8432bnJ8W/a7/g75iPz1GyxTjGQ="/>
    </ext>
  </extLst>
</workbook>
</file>

<file path=xl/calcChain.xml><?xml version="1.0" encoding="utf-8"?>
<calcChain xmlns="http://schemas.openxmlformats.org/spreadsheetml/2006/main">
  <c r="D9" i="4" l="1"/>
  <c r="B9" i="3"/>
  <c r="D3" i="4"/>
  <c r="X11" i="4"/>
  <c r="W15" i="4"/>
  <c r="X12" i="4"/>
  <c r="Y4" i="4"/>
  <c r="W16" i="4"/>
  <c r="W14" i="4"/>
  <c r="W17" i="4" s="1"/>
  <c r="W18" i="4" s="1"/>
  <c r="T19" i="4"/>
  <c r="S16" i="4"/>
  <c r="S15" i="4"/>
  <c r="P18" i="4"/>
  <c r="P17" i="4"/>
  <c r="P16" i="4"/>
  <c r="P15" i="4"/>
  <c r="P14" i="4"/>
  <c r="Q12" i="4"/>
  <c r="Q11" i="4"/>
  <c r="R4" i="4"/>
  <c r="P10" i="4"/>
  <c r="J10" i="2"/>
  <c r="J9" i="2"/>
  <c r="B16" i="4"/>
  <c r="B15" i="4"/>
  <c r="B14" i="4"/>
  <c r="B13" i="4"/>
  <c r="B16" i="3"/>
  <c r="B13" i="3"/>
  <c r="B15" i="3"/>
  <c r="E14" i="3"/>
  <c r="B14" i="3"/>
  <c r="C11" i="3"/>
  <c r="C10" i="3"/>
  <c r="C11" i="4"/>
  <c r="C10" i="4"/>
  <c r="F25" i="5"/>
  <c r="F14" i="5"/>
  <c r="F15" i="5" s="1"/>
  <c r="P18" i="9"/>
  <c r="Q20" i="9"/>
  <c r="Q31" i="9"/>
  <c r="F20" i="9"/>
  <c r="G20" i="9"/>
  <c r="G31" i="9"/>
  <c r="S20" i="4"/>
  <c r="AN27" i="9"/>
  <c r="AB27" i="9"/>
  <c r="AA27" i="9"/>
  <c r="AB26" i="9"/>
  <c r="AA26" i="9"/>
  <c r="AB23" i="9"/>
  <c r="AA24" i="9"/>
  <c r="AA19" i="4"/>
  <c r="W10" i="4"/>
  <c r="I15" i="4"/>
  <c r="I16" i="4" s="1"/>
  <c r="J12" i="4"/>
  <c r="J11" i="4"/>
  <c r="I14" i="4"/>
  <c r="B9" i="7"/>
  <c r="B9" i="4"/>
  <c r="AN16" i="9"/>
  <c r="AN18" i="9"/>
  <c r="AN19" i="9"/>
  <c r="AN20" i="9"/>
  <c r="AQ24" i="9"/>
  <c r="AR24" i="9"/>
  <c r="AN25" i="9"/>
  <c r="AN30" i="9"/>
  <c r="AK33" i="9"/>
  <c r="AK34" i="9"/>
  <c r="AN38" i="9"/>
  <c r="AV18" i="3"/>
  <c r="AR9" i="3"/>
  <c r="AR14" i="3"/>
  <c r="AU14" i="3" s="1"/>
  <c r="AS11" i="3"/>
  <c r="AS10" i="3"/>
  <c r="AO44" i="3"/>
  <c r="AK40" i="3"/>
  <c r="AL37" i="3"/>
  <c r="AL36" i="3"/>
  <c r="AK39" i="3" s="1"/>
  <c r="AK35" i="3"/>
  <c r="K36" i="3"/>
  <c r="J37" i="3"/>
  <c r="J36" i="3"/>
  <c r="AE23" i="9"/>
  <c r="AD23" i="9"/>
  <c r="AA17" i="9"/>
  <c r="AA15" i="9"/>
  <c r="AA29" i="9" s="1"/>
  <c r="AL11" i="3"/>
  <c r="AL10" i="3"/>
  <c r="AK13" i="3"/>
  <c r="AO18" i="3"/>
  <c r="AK14" i="3"/>
  <c r="AK9" i="3"/>
  <c r="W40" i="3"/>
  <c r="X37" i="3"/>
  <c r="X36" i="3"/>
  <c r="W39" i="3" s="1"/>
  <c r="W14" i="3"/>
  <c r="P14" i="3"/>
  <c r="P40" i="3"/>
  <c r="S40" i="3" s="1"/>
  <c r="Q37" i="3"/>
  <c r="AG41" i="3"/>
  <c r="AD41" i="3"/>
  <c r="AG38" i="3"/>
  <c r="AE38" i="3"/>
  <c r="AG37" i="3"/>
  <c r="AG40" i="3" s="1"/>
  <c r="AE37" i="3"/>
  <c r="AD40" i="3" s="1"/>
  <c r="AD36" i="3"/>
  <c r="B40" i="3"/>
  <c r="B41" i="3" s="1"/>
  <c r="C37" i="3"/>
  <c r="I40" i="3"/>
  <c r="I41" i="3" s="1"/>
  <c r="B35" i="3"/>
  <c r="I35" i="3"/>
  <c r="F31" i="9"/>
  <c r="F9" i="9"/>
  <c r="F18" i="9"/>
  <c r="AY24" i="5"/>
  <c r="BM23" i="5"/>
  <c r="AN23" i="5"/>
  <c r="AC23" i="5"/>
  <c r="BB21" i="5"/>
  <c r="AY22" i="5" s="1"/>
  <c r="BP20" i="5"/>
  <c r="BM21" i="5" s="1"/>
  <c r="AQ20" i="5"/>
  <c r="AN21" i="5" s="1"/>
  <c r="AF20" i="5"/>
  <c r="AC21" i="5" s="1"/>
  <c r="AY15" i="5"/>
  <c r="BM14" i="5"/>
  <c r="AN14" i="5"/>
  <c r="AC14" i="5"/>
  <c r="BM12" i="5"/>
  <c r="BM28" i="5" s="1"/>
  <c r="AY13" i="5"/>
  <c r="AY29" i="5" s="1"/>
  <c r="AC12" i="5"/>
  <c r="AC28" i="5" s="1"/>
  <c r="AN11" i="5"/>
  <c r="AN12" i="5" s="1"/>
  <c r="AN28" i="5" s="1"/>
  <c r="Q23" i="9"/>
  <c r="P23" i="9"/>
  <c r="P20" i="9"/>
  <c r="Q18" i="9"/>
  <c r="T17" i="9"/>
  <c r="S17" i="9"/>
  <c r="Q14" i="9"/>
  <c r="P14" i="9"/>
  <c r="M27" i="9"/>
  <c r="Q13" i="9"/>
  <c r="P13" i="9"/>
  <c r="Q12" i="9"/>
  <c r="P12" i="9"/>
  <c r="Q11" i="9"/>
  <c r="P11" i="9"/>
  <c r="P9" i="9"/>
  <c r="Q9" i="9"/>
  <c r="G23" i="9"/>
  <c r="G9" i="9"/>
  <c r="F23" i="9"/>
  <c r="G18" i="9"/>
  <c r="J17" i="9"/>
  <c r="T20" i="1"/>
  <c r="Q12" i="1"/>
  <c r="F14" i="1"/>
  <c r="F23" i="1"/>
  <c r="F24" i="1" s="1"/>
  <c r="F25" i="1" s="1"/>
  <c r="I17" i="9"/>
  <c r="F15" i="1"/>
  <c r="F16" i="1" s="1"/>
  <c r="F11" i="9"/>
  <c r="F12" i="1"/>
  <c r="AD23" i="1"/>
  <c r="I38" i="4"/>
  <c r="I37" i="4"/>
  <c r="I40" i="4" s="1"/>
  <c r="M19" i="4"/>
  <c r="L20" i="4"/>
  <c r="N18" i="7"/>
  <c r="J14" i="7"/>
  <c r="K11" i="7"/>
  <c r="K10" i="7"/>
  <c r="J13" i="7" s="1"/>
  <c r="J9" i="7"/>
  <c r="F18" i="7"/>
  <c r="B14" i="7"/>
  <c r="C11" i="7"/>
  <c r="C10" i="7"/>
  <c r="B13" i="7" s="1"/>
  <c r="B27" i="4"/>
  <c r="B26" i="4"/>
  <c r="B29" i="4" s="1"/>
  <c r="F18" i="4"/>
  <c r="F44" i="3"/>
  <c r="C36" i="3"/>
  <c r="B39" i="3" s="1"/>
  <c r="M44" i="3"/>
  <c r="I39" i="3"/>
  <c r="I42" i="3" s="1"/>
  <c r="I43" i="3" s="1"/>
  <c r="T44" i="3"/>
  <c r="Q36" i="3"/>
  <c r="P39" i="3" s="1"/>
  <c r="P35" i="3"/>
  <c r="W35" i="3"/>
  <c r="AA44" i="3"/>
  <c r="AH18" i="3"/>
  <c r="AD14" i="3"/>
  <c r="AE11" i="3"/>
  <c r="AE10" i="3"/>
  <c r="AD13" i="3" s="1"/>
  <c r="AD9" i="3"/>
  <c r="W9" i="3"/>
  <c r="AA18" i="3"/>
  <c r="X11" i="3"/>
  <c r="X10" i="3"/>
  <c r="J10" i="3"/>
  <c r="P15" i="3"/>
  <c r="T18" i="3"/>
  <c r="Q11" i="3"/>
  <c r="Q10" i="3"/>
  <c r="P9" i="3"/>
  <c r="I14" i="3"/>
  <c r="L14" i="3" s="1"/>
  <c r="M18" i="3"/>
  <c r="J11" i="3"/>
  <c r="I9" i="3"/>
  <c r="F18" i="3"/>
  <c r="AR13" i="3" l="1"/>
  <c r="AT9" i="3"/>
  <c r="Z20" i="4"/>
  <c r="Z21" i="4"/>
  <c r="Z15" i="4"/>
  <c r="E14" i="4"/>
  <c r="B17" i="4"/>
  <c r="AN21" i="9"/>
  <c r="AN28" i="9"/>
  <c r="AN31" i="9" s="1"/>
  <c r="AN32" i="9" s="1"/>
  <c r="AR15" i="3"/>
  <c r="AK41" i="3"/>
  <c r="AN40" i="3"/>
  <c r="AA18" i="9"/>
  <c r="AA19" i="9" s="1"/>
  <c r="AA37" i="9"/>
  <c r="AK15" i="3"/>
  <c r="AN14" i="3"/>
  <c r="Z14" i="3"/>
  <c r="W15" i="3"/>
  <c r="Z40" i="3"/>
  <c r="W41" i="3"/>
  <c r="W42" i="3" s="1"/>
  <c r="AD42" i="3"/>
  <c r="AG42" i="3"/>
  <c r="AD15" i="3"/>
  <c r="AG14" i="3"/>
  <c r="B42" i="3"/>
  <c r="B43" i="3" s="1"/>
  <c r="E40" i="3"/>
  <c r="Q21" i="9"/>
  <c r="Q24" i="9" s="1"/>
  <c r="Q25" i="9" s="1"/>
  <c r="P31" i="9"/>
  <c r="P21" i="9"/>
  <c r="P24" i="9" s="1"/>
  <c r="P25" i="9" s="1"/>
  <c r="AC15" i="5"/>
  <c r="AC16" i="5" s="1"/>
  <c r="AN15" i="5"/>
  <c r="AN16" i="5" s="1"/>
  <c r="BM15" i="5"/>
  <c r="BM16" i="5" s="1"/>
  <c r="AY16" i="5"/>
  <c r="AY17" i="5" s="1"/>
  <c r="AC39" i="5"/>
  <c r="AD39" i="5" s="1"/>
  <c r="AN39" i="5"/>
  <c r="AO39" i="5" s="1"/>
  <c r="BM39" i="5"/>
  <c r="BN39" i="5" s="1"/>
  <c r="AY40" i="5"/>
  <c r="AZ40" i="5" s="1"/>
  <c r="F44" i="1"/>
  <c r="F17" i="1" s="1"/>
  <c r="F43" i="1"/>
  <c r="F12" i="9"/>
  <c r="F13" i="9" s="1"/>
  <c r="G21" i="9" s="1"/>
  <c r="G24" i="9" s="1"/>
  <c r="G25" i="9" s="1"/>
  <c r="L15" i="4"/>
  <c r="J15" i="7"/>
  <c r="M14" i="7"/>
  <c r="B15" i="7"/>
  <c r="B16" i="7" s="1"/>
  <c r="B17" i="7" s="1"/>
  <c r="E14" i="7"/>
  <c r="E42" i="3"/>
  <c r="E41" i="3"/>
  <c r="L42" i="3"/>
  <c r="L40" i="3"/>
  <c r="P41" i="3"/>
  <c r="P42" i="3" s="1"/>
  <c r="AG16" i="3"/>
  <c r="AD16" i="3"/>
  <c r="AD17" i="3" s="1"/>
  <c r="W13" i="3"/>
  <c r="Z16" i="3" s="1"/>
  <c r="I15" i="3"/>
  <c r="W16" i="3"/>
  <c r="Z15" i="3" s="1"/>
  <c r="I13" i="3"/>
  <c r="P13" i="3"/>
  <c r="S16" i="3" s="1"/>
  <c r="S14" i="3"/>
  <c r="E15" i="3" l="1"/>
  <c r="B17" i="3"/>
  <c r="E16" i="4"/>
  <c r="AU16" i="3"/>
  <c r="Z17" i="4"/>
  <c r="Z16" i="4"/>
  <c r="S21" i="4"/>
  <c r="S17" i="4"/>
  <c r="I17" i="4"/>
  <c r="I18" i="4" s="1"/>
  <c r="E15" i="4"/>
  <c r="AN22" i="9"/>
  <c r="AN37" i="9" s="1"/>
  <c r="AN29" i="9"/>
  <c r="AN36" i="9" s="1"/>
  <c r="AN35" i="9"/>
  <c r="G28" i="9"/>
  <c r="G15" i="9"/>
  <c r="G30" i="9" s="1"/>
  <c r="G22" i="9"/>
  <c r="G29" i="9" s="1"/>
  <c r="AR16" i="3"/>
  <c r="AN42" i="3"/>
  <c r="AK42" i="3"/>
  <c r="X33" i="9"/>
  <c r="AA30" i="9" s="1"/>
  <c r="AA31" i="9" s="1"/>
  <c r="X32" i="9"/>
  <c r="AA20" i="9"/>
  <c r="AN16" i="3"/>
  <c r="AK16" i="3"/>
  <c r="Z41" i="3"/>
  <c r="W43" i="3"/>
  <c r="AG43" i="3"/>
  <c r="AG44" i="3" s="1"/>
  <c r="AD43" i="3"/>
  <c r="W17" i="3"/>
  <c r="AG15" i="3"/>
  <c r="S41" i="3"/>
  <c r="P43" i="3"/>
  <c r="AD19" i="3"/>
  <c r="Q28" i="9"/>
  <c r="Q15" i="9"/>
  <c r="Q30" i="9" s="1"/>
  <c r="Q22" i="9"/>
  <c r="Q29" i="9" s="1"/>
  <c r="P28" i="9"/>
  <c r="P15" i="9"/>
  <c r="P30" i="9" s="1"/>
  <c r="P22" i="9"/>
  <c r="P29" i="9" s="1"/>
  <c r="AY45" i="5"/>
  <c r="AY18" i="5" s="1"/>
  <c r="AY25" i="5" s="1"/>
  <c r="AY44" i="5"/>
  <c r="BA26" i="5"/>
  <c r="BM44" i="5"/>
  <c r="BM43" i="5"/>
  <c r="BO25" i="5"/>
  <c r="AN44" i="5"/>
  <c r="AN17" i="5" s="1"/>
  <c r="AN24" i="5" s="1"/>
  <c r="AN43" i="5"/>
  <c r="AP25" i="5"/>
  <c r="AC44" i="5"/>
  <c r="AC17" i="5" s="1"/>
  <c r="AC24" i="5" s="1"/>
  <c r="AC43" i="5"/>
  <c r="AE25" i="5"/>
  <c r="M26" i="9"/>
  <c r="C26" i="9"/>
  <c r="C27" i="9"/>
  <c r="L21" i="4"/>
  <c r="L17" i="4"/>
  <c r="L16" i="4"/>
  <c r="M16" i="7"/>
  <c r="J16" i="7"/>
  <c r="E16" i="7"/>
  <c r="E15" i="7"/>
  <c r="B45" i="3"/>
  <c r="S42" i="3"/>
  <c r="P45" i="3"/>
  <c r="Z42" i="3"/>
  <c r="W45" i="3"/>
  <c r="I16" i="3"/>
  <c r="W19" i="3"/>
  <c r="L16" i="3"/>
  <c r="P16" i="3"/>
  <c r="P17" i="3" s="1"/>
  <c r="BM17" i="5" l="1"/>
  <c r="BM24" i="5" s="1"/>
  <c r="AU15" i="3"/>
  <c r="AR17" i="3"/>
  <c r="F14" i="9"/>
  <c r="F21" i="9"/>
  <c r="F24" i="9" s="1"/>
  <c r="F25" i="9" s="1"/>
  <c r="AK43" i="3"/>
  <c r="AN41" i="3"/>
  <c r="AA34" i="9"/>
  <c r="AA28" i="9"/>
  <c r="AA35" i="9" s="1"/>
  <c r="AA21" i="9"/>
  <c r="AA36" i="9" s="1"/>
  <c r="AK17" i="3"/>
  <c r="AN15" i="3"/>
  <c r="AD44" i="3"/>
  <c r="AD46" i="3"/>
  <c r="AG46" i="3"/>
  <c r="S15" i="3"/>
  <c r="L15" i="3"/>
  <c r="I17" i="3"/>
  <c r="L41" i="3"/>
  <c r="AC29" i="5"/>
  <c r="AC31" i="5" s="1"/>
  <c r="AC25" i="5"/>
  <c r="AC18" i="5"/>
  <c r="AN29" i="5"/>
  <c r="AN31" i="5" s="1"/>
  <c r="AN25" i="5"/>
  <c r="AN18" i="5"/>
  <c r="BM29" i="5"/>
  <c r="BM31" i="5" s="1"/>
  <c r="BM25" i="5"/>
  <c r="BM18" i="5"/>
  <c r="AY30" i="5"/>
  <c r="AY32" i="5" s="1"/>
  <c r="AY26" i="5"/>
  <c r="AY19" i="5"/>
  <c r="M15" i="7"/>
  <c r="J17" i="7"/>
  <c r="E16" i="3"/>
  <c r="I10" i="4"/>
  <c r="I45" i="3"/>
  <c r="F28" i="9" l="1"/>
  <c r="F22" i="9"/>
  <c r="F29" i="9" s="1"/>
  <c r="F15" i="9"/>
  <c r="F30" i="9" s="1"/>
  <c r="AY39" i="5"/>
  <c r="AY38" i="5"/>
  <c r="AY37" i="5"/>
  <c r="BM38" i="5"/>
  <c r="BM37" i="5"/>
  <c r="BM36" i="5"/>
  <c r="AN38" i="5"/>
  <c r="AN37" i="5"/>
  <c r="AN36" i="5"/>
  <c r="AC38" i="5"/>
  <c r="AC37" i="5"/>
  <c r="AC36" i="5"/>
  <c r="AG20" i="1"/>
  <c r="AD21" i="1" s="1"/>
  <c r="AD14" i="1"/>
  <c r="AD12" i="1"/>
  <c r="AD28" i="1" s="1"/>
  <c r="Q23" i="1"/>
  <c r="Q21" i="1"/>
  <c r="AD15" i="1" l="1"/>
  <c r="AD16" i="1" s="1"/>
  <c r="AD39" i="1"/>
  <c r="AE39" i="1" s="1"/>
  <c r="AD44" i="1" l="1"/>
  <c r="AF25" i="1"/>
  <c r="AD43" i="1"/>
  <c r="AD17" i="1" s="1"/>
  <c r="AD24" i="1" s="1"/>
  <c r="AD29" i="1" l="1"/>
  <c r="AD31" i="1" s="1"/>
  <c r="AD18" i="1"/>
  <c r="AD25" i="1"/>
  <c r="AD37" i="1" l="1"/>
  <c r="AD38" i="1"/>
  <c r="AD36" i="1"/>
  <c r="R25" i="2" l="1"/>
  <c r="K25" i="2"/>
  <c r="D25" i="2"/>
  <c r="Q24" i="2"/>
  <c r="J24" i="2"/>
  <c r="J23" i="2" s="1"/>
  <c r="C24" i="2"/>
  <c r="C23" i="2" s="1"/>
  <c r="Q23" i="2"/>
  <c r="R11" i="2"/>
  <c r="K11" i="2"/>
  <c r="D11" i="2"/>
  <c r="Q10" i="2"/>
  <c r="Q9" i="2" s="1"/>
  <c r="C10" i="2"/>
  <c r="C9" i="2" s="1"/>
  <c r="Q39" i="1"/>
  <c r="R39" i="1" s="1"/>
  <c r="F39" i="1"/>
  <c r="G39" i="1" s="1"/>
  <c r="I20" i="1"/>
  <c r="F21" i="1" s="1"/>
  <c r="H26" i="1"/>
  <c r="Q14" i="1"/>
  <c r="Q28" i="1"/>
  <c r="F28" i="1"/>
  <c r="H25" i="1" l="1"/>
  <c r="Q15" i="1"/>
  <c r="Q16" i="1" s="1"/>
  <c r="Q43" i="1" l="1"/>
  <c r="Q44" i="1"/>
  <c r="Q17" i="1" s="1"/>
  <c r="Q24" i="1" s="1"/>
  <c r="S25" i="1"/>
  <c r="F29" i="1"/>
  <c r="F31" i="1" s="1"/>
  <c r="Q25" i="1" l="1"/>
  <c r="Q18" i="1"/>
  <c r="Q29" i="1"/>
  <c r="Q31" i="1" s="1"/>
  <c r="F38" i="1"/>
  <c r="F37" i="1"/>
  <c r="F36" i="1"/>
  <c r="Q37" i="1" l="1"/>
  <c r="Q36" i="1"/>
  <c r="Q38" i="1"/>
</calcChain>
</file>

<file path=xl/sharedStrings.xml><?xml version="1.0" encoding="utf-8"?>
<sst xmlns="http://schemas.openxmlformats.org/spreadsheetml/2006/main" count="1273" uniqueCount="157">
  <si>
    <t>Example 1</t>
  </si>
  <si>
    <t>Example 2</t>
  </si>
  <si>
    <t>Example 3</t>
  </si>
  <si>
    <t>Your Input</t>
  </si>
  <si>
    <t>Fico score</t>
  </si>
  <si>
    <t>Property Value</t>
  </si>
  <si>
    <t>Rental</t>
  </si>
  <si>
    <t>state</t>
  </si>
  <si>
    <t>Purchase</t>
  </si>
  <si>
    <t>Product</t>
  </si>
  <si>
    <t>ca</t>
  </si>
  <si>
    <t>Max LTV</t>
  </si>
  <si>
    <t>State</t>
  </si>
  <si>
    <t>texas</t>
  </si>
  <si>
    <t>property type</t>
  </si>
  <si>
    <t>ma</t>
  </si>
  <si>
    <t>Property type_SFR</t>
  </si>
  <si>
    <t>Experience</t>
  </si>
  <si>
    <t>4 properties</t>
  </si>
  <si>
    <t xml:space="preserve">Max loan amount per LTV </t>
  </si>
  <si>
    <t>Loan Purpose</t>
  </si>
  <si>
    <t>swap rate</t>
  </si>
  <si>
    <t>Property type</t>
  </si>
  <si>
    <t>SFR</t>
  </si>
  <si>
    <t>DSCR</t>
  </si>
  <si>
    <t>Loan Balance</t>
  </si>
  <si>
    <t>target sales premium</t>
  </si>
  <si>
    <t>Gross Rental</t>
  </si>
  <si>
    <t>Fico</t>
  </si>
  <si>
    <t xml:space="preserve">extra adjustment </t>
  </si>
  <si>
    <t>Expenses</t>
  </si>
  <si>
    <t>-</t>
  </si>
  <si>
    <t xml:space="preserve">experience </t>
  </si>
  <si>
    <t>Debt service</t>
  </si>
  <si>
    <t>Prepayment</t>
  </si>
  <si>
    <t>Always assume 60 months for simple sizer</t>
  </si>
  <si>
    <t xml:space="preserve">Net Cash Flow for DSCR </t>
  </si>
  <si>
    <t>LTC</t>
  </si>
  <si>
    <t>Amortization</t>
  </si>
  <si>
    <t>Swap Rate</t>
  </si>
  <si>
    <t>archwest</t>
  </si>
  <si>
    <t>Sales Premium</t>
  </si>
  <si>
    <t>Adj</t>
  </si>
  <si>
    <t>Rate to sell</t>
  </si>
  <si>
    <t>Spread</t>
  </si>
  <si>
    <t>Note rate</t>
  </si>
  <si>
    <t>Min Loan amount DSCR</t>
  </si>
  <si>
    <t>MIN DSCR LTV</t>
  </si>
  <si>
    <t xml:space="preserve">Loan Amount </t>
  </si>
  <si>
    <t>Output Vales</t>
  </si>
  <si>
    <t xml:space="preserve">Loan AMount </t>
  </si>
  <si>
    <t xml:space="preserve">LTV </t>
  </si>
  <si>
    <t xml:space="preserve">Note Rate </t>
  </si>
  <si>
    <t>Term</t>
  </si>
  <si>
    <t>Net Cash FLow at 1.2</t>
  </si>
  <si>
    <t xml:space="preserve">Net Cash Flow at 1 </t>
  </si>
  <si>
    <t>ca(Tier 1)</t>
  </si>
  <si>
    <t>GA (Tier 2)</t>
  </si>
  <si>
    <t>Your Output</t>
  </si>
  <si>
    <t>LTV</t>
  </si>
  <si>
    <t>Loan Amount</t>
  </si>
  <si>
    <t>Rate</t>
  </si>
  <si>
    <t>12 months</t>
  </si>
  <si>
    <t>Refi</t>
  </si>
  <si>
    <t>AL(Tier 3)</t>
  </si>
  <si>
    <t>Example 4</t>
  </si>
  <si>
    <t>Example 5</t>
  </si>
  <si>
    <t>Example 11</t>
  </si>
  <si>
    <t>Property value</t>
  </si>
  <si>
    <t>rehab</t>
  </si>
  <si>
    <t>ARV</t>
  </si>
  <si>
    <t>Georgia</t>
  </si>
  <si>
    <t>LTARV</t>
  </si>
  <si>
    <t>Projected loan amount</t>
  </si>
  <si>
    <t>Output</t>
  </si>
  <si>
    <t>UPB at close</t>
  </si>
  <si>
    <t>Note Amount</t>
  </si>
  <si>
    <t>Final Loan amount</t>
  </si>
  <si>
    <t>holdback</t>
  </si>
  <si>
    <t>12months</t>
  </si>
  <si>
    <t>default</t>
  </si>
  <si>
    <t>Outcome 2</t>
  </si>
  <si>
    <t>Self Finanace</t>
  </si>
  <si>
    <t>Example 6</t>
  </si>
  <si>
    <t>Example 7</t>
  </si>
  <si>
    <t>Example 8</t>
  </si>
  <si>
    <t>Example 9</t>
  </si>
  <si>
    <t>Example 10</t>
  </si>
  <si>
    <t>Example 12</t>
  </si>
  <si>
    <t>Input Value</t>
  </si>
  <si>
    <t>loan amount exceeds the actual limit of the loan of 5m. this is not applicable</t>
  </si>
  <si>
    <t>Grid 3</t>
  </si>
  <si>
    <t>CA</t>
  </si>
  <si>
    <t>Grid 2</t>
  </si>
  <si>
    <t>Final Output</t>
  </si>
  <si>
    <t>Holdback</t>
  </si>
  <si>
    <t>Look up for loan row</t>
  </si>
  <si>
    <t>property value</t>
  </si>
  <si>
    <t>Multifamily</t>
  </si>
  <si>
    <t>sfr</t>
  </si>
  <si>
    <t>multifamily</t>
  </si>
  <si>
    <t>Monthly Rental</t>
  </si>
  <si>
    <t>check BX live rate sheet</t>
  </si>
  <si>
    <t xml:space="preserve"> check BX live rate sheet</t>
  </si>
  <si>
    <t>derive ltv</t>
  </si>
  <si>
    <t>Swap Treasury rate</t>
  </si>
  <si>
    <t>Depends on credit score as per product type</t>
  </si>
  <si>
    <t>Property type_ SFR</t>
  </si>
  <si>
    <t>Depends on LTV our max LTV is 80%</t>
  </si>
  <si>
    <t>MA</t>
  </si>
  <si>
    <t>Max LTV (multifamily)</t>
  </si>
  <si>
    <t>Property type_ multifamily</t>
  </si>
  <si>
    <t>GE</t>
  </si>
  <si>
    <t>Max LTV (sfr)</t>
  </si>
  <si>
    <t>Extra Adj</t>
  </si>
  <si>
    <t>Max LTV Loan Amount = Max LTV * Property Value</t>
  </si>
  <si>
    <t>Depends on product type -&gt; match value for 80% in the cloumn</t>
  </si>
  <si>
    <t>ga</t>
  </si>
  <si>
    <t>5+</t>
  </si>
  <si>
    <t>DSCR as per credit score</t>
  </si>
  <si>
    <t>Depends on Max loan amount per LTV</t>
  </si>
  <si>
    <t>Target sell premium</t>
  </si>
  <si>
    <t>Gross Rental = Monthly Rental * 12</t>
  </si>
  <si>
    <t>Depends on credit score verify with column on 80%</t>
  </si>
  <si>
    <t xml:space="preserve">Fico </t>
  </si>
  <si>
    <t>Expenses = 1 % or 0.01</t>
  </si>
  <si>
    <t>NA</t>
  </si>
  <si>
    <t>Only this state have value CT, IL, NJ, NY, PA, ME, MA, NH, RI, VT --&gt; -0.150 %</t>
  </si>
  <si>
    <t>TX</t>
  </si>
  <si>
    <t>Debt service = Gross Rental - Expenses</t>
  </si>
  <si>
    <t>Always 60 month --verify value with 80% column</t>
  </si>
  <si>
    <t>as per credit score - check range and verify with cloumn 80%</t>
  </si>
  <si>
    <t>LTC = Min Loan amount DSCR / Property value</t>
  </si>
  <si>
    <t>Not use</t>
  </si>
  <si>
    <t>Dyanamic --&gt; ask while testing</t>
  </si>
  <si>
    <t>Swap/Treasury Rate</t>
  </si>
  <si>
    <t>Archwest Variable  - is based on the loan size</t>
  </si>
  <si>
    <t>-0.30% for loans above 200K</t>
  </si>
  <si>
    <t>Target Sales Premium</t>
  </si>
  <si>
    <t>-0.60% for loan under 200K</t>
  </si>
  <si>
    <t>Target sell premium static value</t>
  </si>
  <si>
    <t>Rate to sell = Target sell premium - (- Adj) + Extra Adj static</t>
  </si>
  <si>
    <t>identify value for rate to sell in the BX chart rate --&gt; then same column we find Sprade value</t>
  </si>
  <si>
    <t>Note Rate = Swap Treasury rate % + (Spreade/10000)</t>
  </si>
  <si>
    <t>By using PV function</t>
  </si>
  <si>
    <t>= - PV(Note rate/12*360*Net Cash Flow for DSCR /12)</t>
  </si>
  <si>
    <t>MIN DSCR LTV = Min Loan amount DSCR /Property Value</t>
  </si>
  <si>
    <t>$1,080,000.00</t>
  </si>
  <si>
    <t>$728,151.12</t>
  </si>
  <si>
    <t>Loan Amount we used is mim vaues of between two -&gt;</t>
  </si>
  <si>
    <t>Results</t>
  </si>
  <si>
    <t>Max loan amount per LTV</t>
  </si>
  <si>
    <t>Output Values</t>
  </si>
  <si>
    <t>Gross Rental Income - (Gross rental Income * 1.2%)</t>
  </si>
  <si>
    <t>FICO</t>
  </si>
  <si>
    <t>multi</t>
  </si>
  <si>
    <t>360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</si>
</sst>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₹&quot;\ #,##0.00;[Red]&quot;₹&quot;\ \-#,##0.00"/>
    <numFmt numFmtId="165" formatCode="&quot;$&quot;#,##0.00"/>
    <numFmt numFmtId="166" formatCode="[$$-540A]#,##0.00"/>
    <numFmt numFmtId="167" formatCode="0.0%"/>
    <numFmt numFmtId="168" formatCode="[$$-409]#,##0"/>
    <numFmt numFmtId="169" formatCode="_(* #,##0_);_(* \(#,##0\);_(* &quot;-&quot;??_);_(@_)"/>
    <numFmt numFmtId="170" formatCode="0.000%"/>
  </numFmts>
  <fonts count="3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rgb="FF000000"/>
      <name val="&quot;Google Sans Mono&quot;"/>
    </font>
    <font>
      <sz val="11"/>
      <color rgb="FF172B4D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entury Gothic"/>
      <family val="2"/>
    </font>
    <font>
      <sz val="11"/>
      <color theme="0"/>
      <name val="Calibri"/>
      <scheme val="minor"/>
    </font>
    <font>
      <sz val="11"/>
      <color rgb="FF000000"/>
      <name val="Aptos Narrow"/>
      <family val="2"/>
    </font>
    <font>
      <sz val="15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9"/>
      <color rgb="FF000000"/>
      <name val="Arial"/>
    </font>
    <font>
      <sz val="11"/>
      <color rgb="FF172B4D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Aptos Narrow"/>
      <family val="2"/>
    </font>
    <font>
      <sz val="11"/>
      <color theme="1"/>
      <name val="Calibri"/>
    </font>
    <font>
      <sz val="8"/>
      <color theme="1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9"/>
      <color rgb="FF000000"/>
      <name val="Calibri"/>
    </font>
    <font>
      <b/>
      <sz val="8"/>
      <color theme="1"/>
      <name val="Calibri"/>
    </font>
    <font>
      <sz val="11"/>
      <color rgb="FF172B4D"/>
      <name val="Calibri"/>
    </font>
    <font>
      <sz val="11"/>
      <name val="Calibri"/>
    </font>
    <font>
      <sz val="11"/>
      <color rgb="FFFF0000"/>
      <name val="Calibri"/>
      <scheme val="minor"/>
    </font>
    <font>
      <b/>
      <sz val="11"/>
      <color rgb="FF000000"/>
      <name val="Calibri"/>
      <charset val="1"/>
    </font>
    <font>
      <sz val="12"/>
      <name val="Century Gothic"/>
      <family val="2"/>
    </font>
    <font>
      <sz val="12"/>
      <color rgb="FF000000"/>
      <name val="Century Gothic"/>
      <family val="2"/>
    </font>
    <font>
      <b/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E6F5"/>
        <bgColor rgb="FF00000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8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10" fontId="4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6" fillId="3" borderId="0" xfId="0" applyFont="1" applyFill="1"/>
    <xf numFmtId="0" fontId="7" fillId="0" borderId="1" xfId="0" applyFont="1" applyBorder="1" applyAlignment="1">
      <alignment horizontal="left"/>
    </xf>
    <xf numFmtId="166" fontId="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9" fontId="4" fillId="0" borderId="1" xfId="0" applyNumberFormat="1" applyFont="1" applyBorder="1"/>
    <xf numFmtId="10" fontId="4" fillId="0" borderId="1" xfId="0" applyNumberFormat="1" applyFont="1" applyBorder="1"/>
    <xf numFmtId="0" fontId="4" fillId="0" borderId="1" xfId="0" applyFont="1" applyBorder="1"/>
    <xf numFmtId="167" fontId="4" fillId="0" borderId="1" xfId="0" applyNumberFormat="1" applyFont="1" applyBorder="1"/>
    <xf numFmtId="0" fontId="3" fillId="0" borderId="2" xfId="0" applyFont="1" applyBorder="1" applyAlignment="1">
      <alignment horizontal="left"/>
    </xf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3" fillId="0" borderId="6" xfId="0" applyFont="1" applyBorder="1" applyAlignment="1">
      <alignment horizontal="left"/>
    </xf>
    <xf numFmtId="0" fontId="0" fillId="0" borderId="7" xfId="0" applyBorder="1"/>
    <xf numFmtId="0" fontId="0" fillId="0" borderId="0" xfId="1" applyNumberFormat="1" applyFont="1"/>
    <xf numFmtId="0" fontId="10" fillId="0" borderId="0" xfId="0" applyFont="1"/>
    <xf numFmtId="10" fontId="0" fillId="0" borderId="7" xfId="0" applyNumberFormat="1" applyBorder="1"/>
    <xf numFmtId="9" fontId="0" fillId="0" borderId="7" xfId="0" applyNumberFormat="1" applyBorder="1"/>
    <xf numFmtId="168" fontId="0" fillId="0" borderId="0" xfId="0" applyNumberFormat="1"/>
    <xf numFmtId="0" fontId="13" fillId="0" borderId="0" xfId="0" applyFont="1"/>
    <xf numFmtId="0" fontId="1" fillId="0" borderId="0" xfId="0" applyFont="1"/>
    <xf numFmtId="0" fontId="1" fillId="0" borderId="1" xfId="0" applyFont="1" applyBorder="1"/>
    <xf numFmtId="165" fontId="1" fillId="0" borderId="0" xfId="0" applyNumberFormat="1" applyFont="1"/>
    <xf numFmtId="165" fontId="1" fillId="0" borderId="1" xfId="0" applyNumberFormat="1" applyFont="1" applyBorder="1"/>
    <xf numFmtId="166" fontId="1" fillId="0" borderId="1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/>
    <xf numFmtId="10" fontId="1" fillId="0" borderId="0" xfId="0" applyNumberFormat="1" applyFont="1"/>
    <xf numFmtId="10" fontId="1" fillId="0" borderId="1" xfId="0" applyNumberFormat="1" applyFont="1" applyBorder="1"/>
    <xf numFmtId="0" fontId="1" fillId="0" borderId="7" xfId="0" applyFont="1" applyBorder="1"/>
    <xf numFmtId="0" fontId="1" fillId="5" borderId="0" xfId="0" applyFont="1" applyFill="1"/>
    <xf numFmtId="0" fontId="1" fillId="5" borderId="7" xfId="0" applyFont="1" applyFill="1" applyBorder="1"/>
    <xf numFmtId="169" fontId="0" fillId="0" borderId="0" xfId="0" applyNumberFormat="1"/>
    <xf numFmtId="169" fontId="1" fillId="0" borderId="0" xfId="0" applyNumberFormat="1" applyFont="1"/>
    <xf numFmtId="0" fontId="14" fillId="0" borderId="0" xfId="0" applyFont="1"/>
    <xf numFmtId="0" fontId="15" fillId="2" borderId="0" xfId="0" applyFont="1" applyFill="1"/>
    <xf numFmtId="0" fontId="16" fillId="0" borderId="0" xfId="0" applyFont="1"/>
    <xf numFmtId="0" fontId="16" fillId="0" borderId="1" xfId="0" applyFont="1" applyBorder="1" applyAlignment="1">
      <alignment horizontal="left"/>
    </xf>
    <xf numFmtId="3" fontId="16" fillId="0" borderId="1" xfId="0" applyNumberFormat="1" applyFont="1" applyBorder="1" applyAlignment="1">
      <alignment horizontal="left"/>
    </xf>
    <xf numFmtId="0" fontId="17" fillId="0" borderId="0" xfId="0" applyFont="1"/>
    <xf numFmtId="10" fontId="17" fillId="0" borderId="1" xfId="0" applyNumberFormat="1" applyFont="1" applyBorder="1" applyAlignment="1">
      <alignment horizontal="left"/>
    </xf>
    <xf numFmtId="0" fontId="14" fillId="0" borderId="1" xfId="0" applyFont="1" applyBorder="1"/>
    <xf numFmtId="0" fontId="16" fillId="0" borderId="1" xfId="0" applyFont="1" applyBorder="1"/>
    <xf numFmtId="0" fontId="17" fillId="0" borderId="1" xfId="0" applyFont="1" applyBorder="1" applyAlignment="1">
      <alignment horizontal="left"/>
    </xf>
    <xf numFmtId="10" fontId="16" fillId="0" borderId="1" xfId="0" applyNumberFormat="1" applyFont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1" xfId="0" applyFont="1" applyBorder="1"/>
    <xf numFmtId="0" fontId="18" fillId="3" borderId="0" xfId="0" applyFont="1" applyFill="1"/>
    <xf numFmtId="0" fontId="17" fillId="0" borderId="0" xfId="0" applyFont="1" applyAlignment="1">
      <alignment wrapText="1"/>
    </xf>
    <xf numFmtId="0" fontId="17" fillId="0" borderId="2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7" fillId="6" borderId="1" xfId="0" applyFont="1" applyFill="1" applyBorder="1"/>
    <xf numFmtId="0" fontId="17" fillId="0" borderId="5" xfId="0" applyFont="1" applyBorder="1"/>
    <xf numFmtId="10" fontId="17" fillId="0" borderId="1" xfId="0" applyNumberFormat="1" applyFont="1" applyBorder="1"/>
    <xf numFmtId="10" fontId="17" fillId="0" borderId="0" xfId="0" applyNumberFormat="1" applyFont="1"/>
    <xf numFmtId="0" fontId="16" fillId="5" borderId="1" xfId="0" applyFont="1" applyFill="1" applyBorder="1" applyAlignment="1">
      <alignment horizontal="left"/>
    </xf>
    <xf numFmtId="0" fontId="19" fillId="5" borderId="1" xfId="0" applyFont="1" applyFill="1" applyBorder="1" applyAlignment="1">
      <alignment horizontal="left"/>
    </xf>
    <xf numFmtId="0" fontId="20" fillId="5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10" fontId="17" fillId="5" borderId="1" xfId="0" applyNumberFormat="1" applyFont="1" applyFill="1" applyBorder="1" applyAlignment="1">
      <alignment horizontal="left"/>
    </xf>
    <xf numFmtId="0" fontId="17" fillId="5" borderId="2" xfId="0" applyFont="1" applyFill="1" applyBorder="1" applyAlignment="1">
      <alignment horizontal="left"/>
    </xf>
    <xf numFmtId="0" fontId="14" fillId="5" borderId="0" xfId="0" applyFont="1" applyFill="1"/>
    <xf numFmtId="0" fontId="17" fillId="5" borderId="1" xfId="0" applyFont="1" applyFill="1" applyBorder="1"/>
    <xf numFmtId="0" fontId="0" fillId="0" borderId="1" xfId="0" applyBorder="1"/>
    <xf numFmtId="170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0" fontId="4" fillId="0" borderId="5" xfId="0" applyNumberFormat="1" applyFont="1" applyBorder="1" applyAlignment="1">
      <alignment horizontal="left"/>
    </xf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22" fillId="0" borderId="0" xfId="0" applyFont="1"/>
    <xf numFmtId="0" fontId="2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2" fillId="6" borderId="0" xfId="0" applyFont="1" applyFill="1"/>
    <xf numFmtId="0" fontId="24" fillId="5" borderId="0" xfId="0" applyFont="1" applyFill="1"/>
    <xf numFmtId="0" fontId="25" fillId="5" borderId="0" xfId="0" applyFont="1" applyFill="1"/>
    <xf numFmtId="165" fontId="22" fillId="0" borderId="0" xfId="0" applyNumberFormat="1" applyFont="1"/>
    <xf numFmtId="0" fontId="26" fillId="0" borderId="0" xfId="0" applyFont="1"/>
    <xf numFmtId="10" fontId="22" fillId="0" borderId="0" xfId="0" applyNumberFormat="1" applyFont="1"/>
    <xf numFmtId="0" fontId="26" fillId="0" borderId="1" xfId="0" applyFont="1" applyBorder="1" applyAlignment="1">
      <alignment horizontal="left"/>
    </xf>
    <xf numFmtId="3" fontId="26" fillId="0" borderId="1" xfId="0" applyNumberFormat="1" applyFont="1" applyBorder="1" applyAlignment="1">
      <alignment horizontal="left"/>
    </xf>
    <xf numFmtId="170" fontId="22" fillId="0" borderId="0" xfId="0" applyNumberFormat="1" applyFont="1"/>
    <xf numFmtId="10" fontId="22" fillId="0" borderId="1" xfId="0" applyNumberFormat="1" applyFont="1" applyBorder="1" applyAlignment="1">
      <alignment horizontal="left"/>
    </xf>
    <xf numFmtId="0" fontId="22" fillId="0" borderId="1" xfId="0" applyFont="1" applyBorder="1"/>
    <xf numFmtId="0" fontId="26" fillId="0" borderId="1" xfId="0" applyFont="1" applyBorder="1"/>
    <xf numFmtId="9" fontId="22" fillId="0" borderId="1" xfId="0" applyNumberFormat="1" applyFont="1" applyBorder="1" applyAlignment="1">
      <alignment horizontal="left"/>
    </xf>
    <xf numFmtId="9" fontId="22" fillId="0" borderId="0" xfId="0" applyNumberFormat="1" applyFont="1"/>
    <xf numFmtId="0" fontId="22" fillId="0" borderId="1" xfId="0" applyFont="1" applyBorder="1" applyAlignment="1">
      <alignment horizontal="left"/>
    </xf>
    <xf numFmtId="10" fontId="26" fillId="0" borderId="1" xfId="0" applyNumberFormat="1" applyFont="1" applyBorder="1" applyAlignment="1">
      <alignment horizontal="left"/>
    </xf>
    <xf numFmtId="165" fontId="22" fillId="0" borderId="1" xfId="0" applyNumberFormat="1" applyFont="1" applyBorder="1" applyAlignment="1">
      <alignment horizontal="left"/>
    </xf>
    <xf numFmtId="0" fontId="26" fillId="3" borderId="5" xfId="0" applyFont="1" applyFill="1" applyBorder="1" applyAlignment="1">
      <alignment horizontal="left"/>
    </xf>
    <xf numFmtId="0" fontId="22" fillId="3" borderId="5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26" fillId="0" borderId="9" xfId="0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2" fillId="0" borderId="9" xfId="0" applyFont="1" applyBorder="1" applyAlignment="1">
      <alignment horizontal="left"/>
    </xf>
    <xf numFmtId="0" fontId="27" fillId="3" borderId="0" xfId="0" applyFont="1" applyFill="1"/>
    <xf numFmtId="10" fontId="22" fillId="0" borderId="5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9" fillId="0" borderId="1" xfId="0" applyFont="1" applyBorder="1" applyAlignment="1">
      <alignment horizontal="left"/>
    </xf>
    <xf numFmtId="170" fontId="22" fillId="0" borderId="1" xfId="0" applyNumberFormat="1" applyFont="1" applyBorder="1" applyAlignment="1">
      <alignment horizontal="left"/>
    </xf>
    <xf numFmtId="166" fontId="22" fillId="0" borderId="1" xfId="0" applyNumberFormat="1" applyFont="1" applyBorder="1" applyAlignment="1">
      <alignment horizontal="left"/>
    </xf>
    <xf numFmtId="166" fontId="22" fillId="0" borderId="0" xfId="0" applyNumberFormat="1" applyFont="1"/>
    <xf numFmtId="0" fontId="22" fillId="0" borderId="2" xfId="0" applyFont="1" applyBorder="1" applyAlignment="1">
      <alignment horizontal="left"/>
    </xf>
    <xf numFmtId="165" fontId="22" fillId="0" borderId="1" xfId="0" applyNumberFormat="1" applyFont="1" applyBorder="1"/>
    <xf numFmtId="166" fontId="22" fillId="0" borderId="1" xfId="0" applyNumberFormat="1" applyFont="1" applyBorder="1"/>
    <xf numFmtId="0" fontId="22" fillId="6" borderId="1" xfId="0" applyFont="1" applyFill="1" applyBorder="1"/>
    <xf numFmtId="0" fontId="22" fillId="0" borderId="5" xfId="0" applyFont="1" applyBorder="1"/>
    <xf numFmtId="165" fontId="22" fillId="0" borderId="5" xfId="0" applyNumberFormat="1" applyFont="1" applyBorder="1"/>
    <xf numFmtId="10" fontId="22" fillId="0" borderId="1" xfId="0" applyNumberFormat="1" applyFont="1" applyBorder="1"/>
    <xf numFmtId="170" fontId="22" fillId="0" borderId="1" xfId="0" applyNumberFormat="1" applyFont="1" applyBorder="1"/>
    <xf numFmtId="170" fontId="17" fillId="0" borderId="12" xfId="0" applyNumberFormat="1" applyFont="1" applyBorder="1"/>
    <xf numFmtId="169" fontId="0" fillId="0" borderId="1" xfId="0" applyNumberFormat="1" applyBorder="1"/>
    <xf numFmtId="0" fontId="1" fillId="0" borderId="15" xfId="0" applyFont="1" applyBorder="1"/>
    <xf numFmtId="0" fontId="0" fillId="0" borderId="15" xfId="0" applyBorder="1"/>
    <xf numFmtId="9" fontId="0" fillId="0" borderId="1" xfId="0" applyNumberFormat="1" applyBorder="1"/>
    <xf numFmtId="0" fontId="0" fillId="0" borderId="3" xfId="1" applyNumberFormat="1" applyFont="1" applyBorder="1"/>
    <xf numFmtId="9" fontId="0" fillId="0" borderId="3" xfId="0" applyNumberFormat="1" applyBorder="1"/>
    <xf numFmtId="10" fontId="0" fillId="0" borderId="1" xfId="0" applyNumberFormat="1" applyBorder="1"/>
    <xf numFmtId="10" fontId="0" fillId="0" borderId="3" xfId="0" applyNumberFormat="1" applyBorder="1"/>
    <xf numFmtId="0" fontId="1" fillId="5" borderId="1" xfId="0" applyFont="1" applyFill="1" applyBorder="1"/>
    <xf numFmtId="0" fontId="1" fillId="0" borderId="17" xfId="0" applyFont="1" applyBorder="1"/>
    <xf numFmtId="0" fontId="0" fillId="7" borderId="0" xfId="0" applyFill="1"/>
    <xf numFmtId="0" fontId="3" fillId="0" borderId="3" xfId="0" applyFont="1" applyBorder="1" applyAlignment="1">
      <alignment horizontal="left"/>
    </xf>
    <xf numFmtId="16" fontId="0" fillId="0" borderId="1" xfId="0" applyNumberFormat="1" applyBorder="1"/>
    <xf numFmtId="0" fontId="5" fillId="0" borderId="9" xfId="0" applyFont="1" applyBorder="1"/>
    <xf numFmtId="0" fontId="32" fillId="0" borderId="0" xfId="0" applyFont="1"/>
    <xf numFmtId="43" fontId="0" fillId="0" borderId="7" xfId="0" applyNumberFormat="1" applyBorder="1"/>
    <xf numFmtId="43" fontId="1" fillId="0" borderId="7" xfId="0" applyNumberFormat="1" applyFont="1" applyBorder="1"/>
    <xf numFmtId="43" fontId="0" fillId="0" borderId="1" xfId="0" applyNumberFormat="1" applyBorder="1"/>
    <xf numFmtId="168" fontId="0" fillId="0" borderId="7" xfId="0" applyNumberFormat="1" applyBorder="1"/>
    <xf numFmtId="0" fontId="31" fillId="0" borderId="0" xfId="0" applyFont="1"/>
    <xf numFmtId="43" fontId="31" fillId="0" borderId="0" xfId="0" applyNumberFormat="1" applyFont="1"/>
    <xf numFmtId="0" fontId="10" fillId="0" borderId="1" xfId="0" applyFont="1" applyBorder="1"/>
    <xf numFmtId="0" fontId="31" fillId="0" borderId="1" xfId="0" applyFont="1" applyBorder="1"/>
    <xf numFmtId="167" fontId="0" fillId="0" borderId="7" xfId="0" applyNumberFormat="1" applyBorder="1"/>
    <xf numFmtId="10" fontId="33" fillId="8" borderId="18" xfId="0" applyNumberFormat="1" applyFont="1" applyFill="1" applyBorder="1"/>
    <xf numFmtId="10" fontId="33" fillId="8" borderId="19" xfId="0" applyNumberFormat="1" applyFont="1" applyFill="1" applyBorder="1"/>
    <xf numFmtId="10" fontId="33" fillId="8" borderId="20" xfId="0" applyNumberFormat="1" applyFont="1" applyFill="1" applyBorder="1"/>
    <xf numFmtId="43" fontId="0" fillId="0" borderId="0" xfId="0" applyNumberFormat="1"/>
    <xf numFmtId="10" fontId="12" fillId="9" borderId="0" xfId="0" applyNumberFormat="1" applyFont="1" applyFill="1"/>
    <xf numFmtId="6" fontId="12" fillId="9" borderId="0" xfId="0" applyNumberFormat="1" applyFont="1" applyFill="1" applyAlignment="1">
      <alignment horizontal="center"/>
    </xf>
    <xf numFmtId="167" fontId="12" fillId="9" borderId="0" xfId="2" applyNumberFormat="1" applyFont="1" applyFill="1" applyBorder="1" applyAlignment="1">
      <alignment horizontal="center"/>
    </xf>
    <xf numFmtId="0" fontId="14" fillId="10" borderId="0" xfId="0" applyFont="1" applyFill="1"/>
    <xf numFmtId="0" fontId="14" fillId="10" borderId="0" xfId="0" applyFont="1" applyFill="1" applyAlignment="1">
      <alignment horizontal="left"/>
    </xf>
    <xf numFmtId="0" fontId="14" fillId="10" borderId="0" xfId="0" applyFont="1" applyFill="1" applyAlignment="1">
      <alignment horizontal="right"/>
    </xf>
    <xf numFmtId="0" fontId="16" fillId="10" borderId="0" xfId="0" applyFont="1" applyFill="1"/>
    <xf numFmtId="0" fontId="16" fillId="10" borderId="1" xfId="0" applyFont="1" applyFill="1" applyBorder="1" applyAlignment="1">
      <alignment horizontal="left"/>
    </xf>
    <xf numFmtId="3" fontId="16" fillId="10" borderId="1" xfId="0" applyNumberFormat="1" applyFont="1" applyFill="1" applyBorder="1" applyAlignment="1">
      <alignment horizontal="left"/>
    </xf>
    <xf numFmtId="0" fontId="17" fillId="10" borderId="0" xfId="0" applyFont="1" applyFill="1" applyAlignment="1">
      <alignment horizontal="right"/>
    </xf>
    <xf numFmtId="0" fontId="14" fillId="10" borderId="1" xfId="0" applyFont="1" applyFill="1" applyBorder="1"/>
    <xf numFmtId="0" fontId="17" fillId="10" borderId="0" xfId="0" applyFont="1" applyFill="1"/>
    <xf numFmtId="10" fontId="17" fillId="10" borderId="3" xfId="0" applyNumberFormat="1" applyFont="1" applyFill="1" applyBorder="1" applyAlignment="1">
      <alignment horizontal="left"/>
    </xf>
    <xf numFmtId="0" fontId="14" fillId="10" borderId="1" xfId="0" applyFont="1" applyFill="1" applyBorder="1" applyAlignment="1">
      <alignment horizontal="left"/>
    </xf>
    <xf numFmtId="0" fontId="14" fillId="10" borderId="4" xfId="0" applyFont="1" applyFill="1" applyBorder="1" applyAlignment="1">
      <alignment horizontal="right"/>
    </xf>
    <xf numFmtId="0" fontId="14" fillId="10" borderId="3" xfId="0" applyFont="1" applyFill="1" applyBorder="1" applyAlignment="1">
      <alignment horizontal="right"/>
    </xf>
    <xf numFmtId="0" fontId="17" fillId="10" borderId="1" xfId="0" applyFont="1" applyFill="1" applyBorder="1" applyAlignment="1">
      <alignment horizontal="right"/>
    </xf>
    <xf numFmtId="10" fontId="16" fillId="10" borderId="1" xfId="0" applyNumberFormat="1" applyFont="1" applyFill="1" applyBorder="1" applyAlignment="1">
      <alignment horizontal="left"/>
    </xf>
    <xf numFmtId="0" fontId="17" fillId="10" borderId="3" xfId="0" applyFont="1" applyFill="1" applyBorder="1" applyAlignment="1">
      <alignment horizontal="left"/>
    </xf>
    <xf numFmtId="0" fontId="16" fillId="10" borderId="4" xfId="0" applyFont="1" applyFill="1" applyBorder="1" applyAlignment="1">
      <alignment horizontal="right"/>
    </xf>
    <xf numFmtId="0" fontId="17" fillId="10" borderId="3" xfId="0" applyFont="1" applyFill="1" applyBorder="1" applyAlignment="1">
      <alignment horizontal="right"/>
    </xf>
    <xf numFmtId="0" fontId="16" fillId="10" borderId="9" xfId="0" applyFont="1" applyFill="1" applyBorder="1" applyAlignment="1">
      <alignment horizontal="left"/>
    </xf>
    <xf numFmtId="0" fontId="16" fillId="10" borderId="10" xfId="0" applyFont="1" applyFill="1" applyBorder="1" applyAlignment="1">
      <alignment horizontal="right"/>
    </xf>
    <xf numFmtId="0" fontId="17" fillId="10" borderId="13" xfId="0" applyFont="1" applyFill="1" applyBorder="1" applyAlignment="1">
      <alignment horizontal="right"/>
    </xf>
    <xf numFmtId="0" fontId="17" fillId="10" borderId="1" xfId="0" applyFont="1" applyFill="1" applyBorder="1"/>
    <xf numFmtId="2" fontId="17" fillId="10" borderId="3" xfId="0" applyNumberFormat="1" applyFont="1" applyFill="1" applyBorder="1" applyAlignment="1">
      <alignment horizontal="left"/>
    </xf>
    <xf numFmtId="0" fontId="13" fillId="10" borderId="0" xfId="0" applyFont="1" applyFill="1" applyAlignment="1">
      <alignment horizontal="right"/>
    </xf>
    <xf numFmtId="0" fontId="16" fillId="10" borderId="0" xfId="0" applyFont="1" applyFill="1" applyAlignment="1">
      <alignment horizontal="left"/>
    </xf>
    <xf numFmtId="2" fontId="17" fillId="10" borderId="12" xfId="0" applyNumberFormat="1" applyFont="1" applyFill="1" applyBorder="1" applyAlignment="1">
      <alignment horizontal="left"/>
    </xf>
    <xf numFmtId="0" fontId="17" fillId="10" borderId="3" xfId="0" applyFont="1" applyFill="1" applyBorder="1"/>
    <xf numFmtId="0" fontId="16" fillId="10" borderId="5" xfId="0" applyFont="1" applyFill="1" applyBorder="1" applyAlignment="1">
      <alignment horizontal="left"/>
    </xf>
    <xf numFmtId="10" fontId="17" fillId="10" borderId="13" xfId="0" applyNumberFormat="1" applyFont="1" applyFill="1" applyBorder="1" applyAlignment="1">
      <alignment horizontal="left"/>
    </xf>
    <xf numFmtId="9" fontId="14" fillId="10" borderId="1" xfId="0" applyNumberFormat="1" applyFont="1" applyFill="1" applyBorder="1" applyAlignment="1">
      <alignment horizontal="left"/>
    </xf>
    <xf numFmtId="0" fontId="17" fillId="10" borderId="1" xfId="0" applyFont="1" applyFill="1" applyBorder="1" applyAlignment="1">
      <alignment horizontal="right" wrapText="1"/>
    </xf>
    <xf numFmtId="0" fontId="17" fillId="10" borderId="8" xfId="0" applyFont="1" applyFill="1" applyBorder="1"/>
    <xf numFmtId="0" fontId="16" fillId="10" borderId="9" xfId="0" applyFont="1" applyFill="1" applyBorder="1"/>
    <xf numFmtId="170" fontId="17" fillId="10" borderId="12" xfId="0" applyNumberFormat="1" applyFont="1" applyFill="1" applyBorder="1"/>
    <xf numFmtId="0" fontId="16" fillId="10" borderId="14" xfId="0" applyFont="1" applyFill="1" applyBorder="1" applyAlignment="1">
      <alignment horizontal="right"/>
    </xf>
    <xf numFmtId="0" fontId="17" fillId="10" borderId="12" xfId="0" applyFont="1" applyFill="1" applyBorder="1" applyAlignment="1">
      <alignment horizontal="right"/>
    </xf>
    <xf numFmtId="0" fontId="16" fillId="10" borderId="1" xfId="0" applyFont="1" applyFill="1" applyBorder="1"/>
    <xf numFmtId="0" fontId="16" fillId="10" borderId="3" xfId="0" applyFont="1" applyFill="1" applyBorder="1" applyAlignment="1">
      <alignment horizontal="right"/>
    </xf>
    <xf numFmtId="0" fontId="14" fillId="10" borderId="1" xfId="0" applyFont="1" applyFill="1" applyBorder="1" applyAlignment="1">
      <alignment horizontal="right"/>
    </xf>
    <xf numFmtId="0" fontId="19" fillId="10" borderId="3" xfId="0" applyFont="1" applyFill="1" applyBorder="1" applyAlignment="1">
      <alignment horizontal="left"/>
    </xf>
    <xf numFmtId="0" fontId="17" fillId="10" borderId="0" xfId="0" applyFont="1" applyFill="1" applyAlignment="1">
      <alignment wrapText="1"/>
    </xf>
    <xf numFmtId="170" fontId="17" fillId="10" borderId="3" xfId="0" applyNumberFormat="1" applyFont="1" applyFill="1" applyBorder="1" applyAlignment="1">
      <alignment horizontal="left"/>
    </xf>
    <xf numFmtId="170" fontId="14" fillId="10" borderId="1" xfId="0" applyNumberFormat="1" applyFont="1" applyFill="1" applyBorder="1" applyAlignment="1">
      <alignment horizontal="left"/>
    </xf>
    <xf numFmtId="8" fontId="17" fillId="10" borderId="12" xfId="0" applyNumberFormat="1" applyFont="1" applyFill="1" applyBorder="1" applyAlignment="1">
      <alignment horizontal="left"/>
    </xf>
    <xf numFmtId="8" fontId="14" fillId="10" borderId="1" xfId="0" applyNumberFormat="1" applyFont="1" applyFill="1" applyBorder="1" applyAlignment="1">
      <alignment horizontal="left"/>
    </xf>
    <xf numFmtId="10" fontId="17" fillId="10" borderId="12" xfId="0" applyNumberFormat="1" applyFont="1" applyFill="1" applyBorder="1" applyAlignment="1">
      <alignment horizontal="left"/>
    </xf>
    <xf numFmtId="0" fontId="16" fillId="10" borderId="3" xfId="0" applyFont="1" applyFill="1" applyBorder="1" applyAlignment="1">
      <alignment horizontal="left"/>
    </xf>
    <xf numFmtId="8" fontId="17" fillId="10" borderId="1" xfId="0" applyNumberFormat="1" applyFont="1" applyFill="1" applyBorder="1"/>
    <xf numFmtId="0" fontId="14" fillId="10" borderId="4" xfId="0" applyFont="1" applyFill="1" applyBorder="1" applyAlignment="1">
      <alignment horizontal="left"/>
    </xf>
    <xf numFmtId="0" fontId="16" fillId="10" borderId="12" xfId="0" applyFont="1" applyFill="1" applyBorder="1" applyAlignment="1">
      <alignment horizontal="left"/>
    </xf>
    <xf numFmtId="8" fontId="14" fillId="10" borderId="4" xfId="0" applyNumberFormat="1" applyFont="1" applyFill="1" applyBorder="1" applyAlignment="1">
      <alignment horizontal="left"/>
    </xf>
    <xf numFmtId="8" fontId="17" fillId="10" borderId="4" xfId="0" applyNumberFormat="1" applyFont="1" applyFill="1" applyBorder="1"/>
    <xf numFmtId="0" fontId="17" fillId="10" borderId="5" xfId="0" applyFont="1" applyFill="1" applyBorder="1"/>
    <xf numFmtId="0" fontId="17" fillId="10" borderId="5" xfId="0" applyFont="1" applyFill="1" applyBorder="1" applyAlignment="1">
      <alignment horizontal="left"/>
    </xf>
    <xf numFmtId="0" fontId="17" fillId="10" borderId="1" xfId="0" applyFont="1" applyFill="1" applyBorder="1" applyAlignment="1">
      <alignment horizontal="left"/>
    </xf>
    <xf numFmtId="10" fontId="17" fillId="10" borderId="1" xfId="0" applyNumberFormat="1" applyFont="1" applyFill="1" applyBorder="1"/>
    <xf numFmtId="9" fontId="17" fillId="10" borderId="1" xfId="0" applyNumberFormat="1" applyFont="1" applyFill="1" applyBorder="1" applyAlignment="1">
      <alignment horizontal="left"/>
    </xf>
    <xf numFmtId="170" fontId="17" fillId="10" borderId="1" xfId="0" applyNumberFormat="1" applyFont="1" applyFill="1" applyBorder="1"/>
    <xf numFmtId="170" fontId="17" fillId="10" borderId="1" xfId="0" applyNumberFormat="1" applyFont="1" applyFill="1" applyBorder="1" applyAlignment="1">
      <alignment horizontal="left"/>
    </xf>
    <xf numFmtId="0" fontId="14" fillId="10" borderId="3" xfId="0" applyFont="1" applyFill="1" applyBorder="1"/>
    <xf numFmtId="0" fontId="17" fillId="10" borderId="13" xfId="0" applyFont="1" applyFill="1" applyBorder="1" applyAlignment="1">
      <alignment horizontal="left"/>
    </xf>
    <xf numFmtId="0" fontId="13" fillId="10" borderId="0" xfId="0" applyFont="1" applyFill="1"/>
    <xf numFmtId="2" fontId="14" fillId="10" borderId="1" xfId="0" applyNumberFormat="1" applyFont="1" applyFill="1" applyBorder="1" applyAlignment="1">
      <alignment horizontal="left"/>
    </xf>
    <xf numFmtId="9" fontId="14" fillId="10" borderId="9" xfId="0" applyNumberFormat="1" applyFont="1" applyFill="1" applyBorder="1" applyAlignment="1">
      <alignment horizontal="left"/>
    </xf>
    <xf numFmtId="0" fontId="17" fillId="10" borderId="1" xfId="0" applyFont="1" applyFill="1" applyBorder="1" applyAlignment="1">
      <alignment wrapText="1"/>
    </xf>
    <xf numFmtId="0" fontId="16" fillId="10" borderId="9" xfId="0" applyFont="1" applyFill="1" applyBorder="1" applyAlignment="1">
      <alignment horizontal="right"/>
    </xf>
    <xf numFmtId="0" fontId="17" fillId="10" borderId="16" xfId="0" applyFont="1" applyFill="1" applyBorder="1"/>
    <xf numFmtId="0" fontId="16" fillId="10" borderId="1" xfId="0" applyFont="1" applyFill="1" applyBorder="1" applyAlignment="1">
      <alignment horizontal="right"/>
    </xf>
    <xf numFmtId="0" fontId="16" fillId="10" borderId="11" xfId="0" applyFont="1" applyFill="1" applyBorder="1"/>
    <xf numFmtId="0" fontId="14" fillId="10" borderId="5" xfId="0" applyFont="1" applyFill="1" applyBorder="1" applyAlignment="1">
      <alignment horizontal="left"/>
    </xf>
    <xf numFmtId="0" fontId="21" fillId="10" borderId="0" xfId="0" applyFont="1" applyFill="1"/>
    <xf numFmtId="170" fontId="17" fillId="10" borderId="12" xfId="0" applyNumberFormat="1" applyFont="1" applyFill="1" applyBorder="1" applyAlignment="1">
      <alignment horizontal="left"/>
    </xf>
    <xf numFmtId="0" fontId="17" fillId="0" borderId="8" xfId="0" applyFont="1" applyBorder="1"/>
    <xf numFmtId="0" fontId="17" fillId="0" borderId="10" xfId="0" applyFont="1" applyBorder="1"/>
    <xf numFmtId="167" fontId="0" fillId="0" borderId="0" xfId="0" applyNumberFormat="1"/>
    <xf numFmtId="167" fontId="0" fillId="0" borderId="1" xfId="0" applyNumberFormat="1" applyBorder="1"/>
    <xf numFmtId="167" fontId="0" fillId="0" borderId="3" xfId="0" applyNumberFormat="1" applyBorder="1"/>
    <xf numFmtId="10" fontId="33" fillId="11" borderId="21" xfId="0" applyNumberFormat="1" applyFont="1" applyFill="1" applyBorder="1"/>
    <xf numFmtId="10" fontId="33" fillId="11" borderId="22" xfId="0" applyNumberFormat="1" applyFont="1" applyFill="1" applyBorder="1"/>
    <xf numFmtId="10" fontId="33" fillId="11" borderId="23" xfId="0" applyNumberFormat="1" applyFont="1" applyFill="1" applyBorder="1"/>
    <xf numFmtId="10" fontId="34" fillId="11" borderId="7" xfId="0" applyNumberFormat="1" applyFont="1" applyFill="1" applyBorder="1"/>
    <xf numFmtId="10" fontId="33" fillId="11" borderId="18" xfId="0" applyNumberFormat="1" applyFont="1" applyFill="1" applyBorder="1"/>
    <xf numFmtId="10" fontId="33" fillId="11" borderId="19" xfId="0" applyNumberFormat="1" applyFont="1" applyFill="1" applyBorder="1"/>
    <xf numFmtId="10" fontId="33" fillId="11" borderId="20" xfId="0" applyNumberFormat="1" applyFont="1" applyFill="1" applyBorder="1"/>
    <xf numFmtId="0" fontId="10" fillId="12" borderId="0" xfId="0" applyFont="1" applyFill="1"/>
    <xf numFmtId="0" fontId="0" fillId="12" borderId="0" xfId="0" applyFill="1"/>
    <xf numFmtId="0" fontId="1" fillId="12" borderId="1" xfId="0" applyFont="1" applyFill="1" applyBorder="1"/>
    <xf numFmtId="169" fontId="0" fillId="12" borderId="1" xfId="0" applyNumberFormat="1" applyFill="1" applyBorder="1"/>
    <xf numFmtId="169" fontId="0" fillId="12" borderId="0" xfId="0" applyNumberFormat="1" applyFill="1"/>
    <xf numFmtId="0" fontId="0" fillId="12" borderId="1" xfId="0" applyFill="1" applyBorder="1"/>
    <xf numFmtId="10" fontId="33" fillId="12" borderId="1" xfId="0" applyNumberFormat="1" applyFont="1" applyFill="1" applyBorder="1"/>
    <xf numFmtId="9" fontId="0" fillId="12" borderId="3" xfId="1" applyFont="1" applyFill="1" applyBorder="1"/>
    <xf numFmtId="0" fontId="1" fillId="12" borderId="0" xfId="0" applyFont="1" applyFill="1"/>
    <xf numFmtId="9" fontId="0" fillId="12" borderId="0" xfId="1" applyFont="1" applyFill="1"/>
    <xf numFmtId="167" fontId="0" fillId="12" borderId="3" xfId="0" applyNumberFormat="1" applyFill="1" applyBorder="1"/>
    <xf numFmtId="167" fontId="0" fillId="12" borderId="0" xfId="0" applyNumberFormat="1" applyFill="1"/>
    <xf numFmtId="167" fontId="0" fillId="12" borderId="1" xfId="0" applyNumberFormat="1" applyFill="1" applyBorder="1"/>
    <xf numFmtId="0" fontId="1" fillId="12" borderId="7" xfId="0" applyFont="1" applyFill="1" applyBorder="1"/>
    <xf numFmtId="0" fontId="0" fillId="12" borderId="7" xfId="0" applyFill="1" applyBorder="1"/>
    <xf numFmtId="169" fontId="1" fillId="12" borderId="1" xfId="0" applyNumberFormat="1" applyFont="1" applyFill="1" applyBorder="1"/>
    <xf numFmtId="169" fontId="1" fillId="12" borderId="0" xfId="0" applyNumberFormat="1" applyFont="1" applyFill="1"/>
    <xf numFmtId="10" fontId="33" fillId="12" borderId="0" xfId="0" applyNumberFormat="1" applyFont="1" applyFill="1"/>
    <xf numFmtId="10" fontId="33" fillId="12" borderId="5" xfId="0" applyNumberFormat="1" applyFont="1" applyFill="1" applyBorder="1"/>
    <xf numFmtId="0" fontId="1" fillId="12" borderId="3" xfId="0" applyFont="1" applyFill="1" applyBorder="1"/>
    <xf numFmtId="169" fontId="0" fillId="12" borderId="9" xfId="0" applyNumberFormat="1" applyFill="1" applyBorder="1"/>
    <xf numFmtId="0" fontId="1" fillId="12" borderId="5" xfId="0" applyFont="1" applyFill="1" applyBorder="1"/>
    <xf numFmtId="0" fontId="0" fillId="12" borderId="3" xfId="1" applyNumberFormat="1" applyFont="1" applyFill="1" applyBorder="1"/>
    <xf numFmtId="0" fontId="1" fillId="12" borderId="17" xfId="0" applyFont="1" applyFill="1" applyBorder="1"/>
    <xf numFmtId="0" fontId="1" fillId="12" borderId="15" xfId="0" applyFont="1" applyFill="1" applyBorder="1"/>
    <xf numFmtId="0" fontId="0" fillId="12" borderId="15" xfId="0" applyFill="1" applyBorder="1"/>
    <xf numFmtId="10" fontId="33" fillId="13" borderId="24" xfId="0" applyNumberFormat="1" applyFont="1" applyFill="1" applyBorder="1"/>
    <xf numFmtId="10" fontId="33" fillId="13" borderId="25" xfId="0" applyNumberFormat="1" applyFont="1" applyFill="1" applyBorder="1"/>
    <xf numFmtId="10" fontId="33" fillId="13" borderId="26" xfId="0" applyNumberFormat="1" applyFont="1" applyFill="1" applyBorder="1"/>
    <xf numFmtId="167" fontId="0" fillId="0" borderId="3" xfId="1" applyNumberFormat="1" applyFont="1" applyBorder="1"/>
    <xf numFmtId="43" fontId="1" fillId="0" borderId="1" xfId="0" applyNumberFormat="1" applyFont="1" applyBorder="1"/>
    <xf numFmtId="43" fontId="0" fillId="12" borderId="7" xfId="0" applyNumberFormat="1" applyFill="1" applyBorder="1"/>
    <xf numFmtId="0" fontId="16" fillId="10" borderId="5" xfId="0" applyFont="1" applyFill="1" applyBorder="1"/>
    <xf numFmtId="8" fontId="17" fillId="0" borderId="1" xfId="0" applyNumberFormat="1" applyFont="1" applyBorder="1" applyAlignment="1">
      <alignment horizontal="left"/>
    </xf>
    <xf numFmtId="170" fontId="17" fillId="0" borderId="1" xfId="0" applyNumberFormat="1" applyFont="1" applyBorder="1" applyAlignment="1">
      <alignment horizontal="left"/>
    </xf>
    <xf numFmtId="0" fontId="35" fillId="12" borderId="11" xfId="0" applyFont="1" applyFill="1" applyBorder="1" applyAlignment="1">
      <alignment horizontal="right"/>
    </xf>
    <xf numFmtId="0" fontId="35" fillId="12" borderId="1" xfId="0" applyFont="1" applyFill="1" applyBorder="1" applyAlignment="1">
      <alignment horizontal="right"/>
    </xf>
    <xf numFmtId="169" fontId="1" fillId="0" borderId="1" xfId="0" applyNumberFormat="1" applyFont="1" applyBorder="1"/>
    <xf numFmtId="10" fontId="0" fillId="0" borderId="3" xfId="1" applyNumberFormat="1" applyFont="1" applyBorder="1"/>
    <xf numFmtId="43" fontId="0" fillId="12" borderId="0" xfId="0" applyNumberFormat="1" applyFill="1"/>
    <xf numFmtId="0" fontId="10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 wrapText="1"/>
    </xf>
    <xf numFmtId="0" fontId="16" fillId="5" borderId="9" xfId="0" applyFont="1" applyFill="1" applyBorder="1" applyAlignment="1">
      <alignment horizontal="left"/>
    </xf>
    <xf numFmtId="0" fontId="16" fillId="5" borderId="5" xfId="0" applyFont="1" applyFill="1" applyBorder="1" applyAlignment="1">
      <alignment horizontal="left"/>
    </xf>
    <xf numFmtId="0" fontId="17" fillId="5" borderId="9" xfId="0" applyFont="1" applyFill="1" applyBorder="1" applyAlignment="1">
      <alignment horizontal="left"/>
    </xf>
    <xf numFmtId="0" fontId="17" fillId="5" borderId="5" xfId="0" applyFont="1" applyFill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8" fontId="17" fillId="0" borderId="9" xfId="0" applyNumberFormat="1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170" fontId="17" fillId="0" borderId="9" xfId="0" applyNumberFormat="1" applyFont="1" applyBorder="1" applyAlignment="1">
      <alignment horizontal="left"/>
    </xf>
    <xf numFmtId="170" fontId="17" fillId="0" borderId="2" xfId="0" applyNumberFormat="1" applyFont="1" applyBorder="1" applyAlignment="1">
      <alignment horizontal="left"/>
    </xf>
    <xf numFmtId="170" fontId="17" fillId="0" borderId="5" xfId="0" applyNumberFormat="1" applyFont="1" applyBorder="1" applyAlignment="1">
      <alignment horizontal="left"/>
    </xf>
    <xf numFmtId="0" fontId="1" fillId="4" borderId="3" xfId="0" applyFont="1" applyFill="1" applyBorder="1" applyAlignment="1"/>
    <xf numFmtId="0" fontId="8" fillId="0" borderId="4" xfId="0" applyFont="1" applyBorder="1" applyAlignment="1"/>
    <xf numFmtId="0" fontId="14" fillId="0" borderId="0" xfId="0" applyFont="1" applyAlignment="1"/>
    <xf numFmtId="0" fontId="17" fillId="0" borderId="8" xfId="0" applyFont="1" applyBorder="1" applyAlignment="1"/>
    <xf numFmtId="0" fontId="14" fillId="0" borderId="2" xfId="0" applyFont="1" applyBorder="1" applyAlignment="1"/>
    <xf numFmtId="0" fontId="14" fillId="0" borderId="8" xfId="0" applyFont="1" applyBorder="1" applyAlignment="1"/>
    <xf numFmtId="0" fontId="14" fillId="0" borderId="6" xfId="0" applyFont="1" applyBorder="1" applyAlignment="1"/>
    <xf numFmtId="0" fontId="17" fillId="0" borderId="10" xfId="0" applyFont="1" applyBorder="1" applyAlignment="1"/>
    <xf numFmtId="0" fontId="17" fillId="0" borderId="0" xfId="0" applyFont="1" applyAlignment="1"/>
    <xf numFmtId="0" fontId="22" fillId="4" borderId="3" xfId="0" applyFont="1" applyFill="1" applyBorder="1" applyAlignment="1"/>
    <xf numFmtId="0" fontId="30" fillId="0" borderId="4" xfId="0" applyFont="1" applyBorder="1" applyAlignment="1"/>
    <xf numFmtId="0" fontId="17" fillId="4" borderId="3" xfId="0" applyFont="1" applyFill="1" applyBorder="1" applyAlignment="1"/>
    <xf numFmtId="0" fontId="17" fillId="4" borderId="11" xfId="0" applyFont="1" applyFill="1" applyBorder="1" applyAlignment="1"/>
  </cellXfs>
  <cellStyles count="3">
    <cellStyle name="Normal" xfId="0" builtinId="0"/>
    <cellStyle name="Per cent" xfId="1" builtinId="5"/>
    <cellStyle name="Percent 2" xfId="2" xr:uid="{444947DE-A71E-4953-B9EC-D8EADF2A6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49"/>
  <sheetViews>
    <sheetView topLeftCell="A6" zoomScale="88" workbookViewId="0">
      <selection activeCell="A4" sqref="A4"/>
    </sheetView>
  </sheetViews>
  <sheetFormatPr defaultColWidth="14.42578125" defaultRowHeight="15" customHeight="1"/>
  <cols>
    <col min="1" max="1" width="12.140625" customWidth="1"/>
    <col min="2" max="2" width="15.5703125" customWidth="1"/>
    <col min="3" max="3" width="12.28515625" customWidth="1"/>
    <col min="4" max="4" width="8.7109375" customWidth="1"/>
    <col min="5" max="5" width="23.7109375" customWidth="1"/>
    <col min="6" max="6" width="19.85546875" customWidth="1"/>
    <col min="7" max="7" width="8.7109375" customWidth="1"/>
    <col min="8" max="8" width="17.140625" customWidth="1"/>
    <col min="9" max="11" width="8.7109375" customWidth="1"/>
    <col min="12" max="12" width="16.28515625" customWidth="1"/>
    <col min="13" max="13" width="15.42578125" customWidth="1"/>
    <col min="14" max="14" width="15.140625" customWidth="1"/>
    <col min="15" max="15" width="8.7109375" customWidth="1"/>
    <col min="16" max="16" width="24.140625" customWidth="1"/>
    <col min="17" max="17" width="18.42578125" customWidth="1"/>
    <col min="18" max="18" width="8.7109375" customWidth="1"/>
    <col min="19" max="19" width="17" customWidth="1"/>
    <col min="20" max="20" width="10.28515625" customWidth="1"/>
    <col min="21" max="24" width="8.7109375" customWidth="1"/>
    <col min="25" max="25" width="16.28515625" customWidth="1"/>
    <col min="26" max="26" width="15.42578125" customWidth="1"/>
    <col min="27" max="27" width="15.140625" customWidth="1"/>
    <col min="28" max="28" width="8.7109375" customWidth="1"/>
    <col min="29" max="29" width="24.140625" customWidth="1"/>
    <col min="30" max="30" width="18.42578125" customWidth="1"/>
    <col min="31" max="31" width="8.7109375" customWidth="1"/>
    <col min="32" max="32" width="17" customWidth="1"/>
    <col min="33" max="33" width="10.28515625" customWidth="1"/>
    <col min="34" max="35" width="8.7109375" customWidth="1"/>
  </cols>
  <sheetData>
    <row r="1" spans="1:34" ht="14.25" hidden="1" customHeight="1"/>
    <row r="2" spans="1:34" ht="14.25" hidden="1" customHeight="1"/>
    <row r="3" spans="1:34" ht="14.25" hidden="1" customHeight="1"/>
    <row r="4" spans="1:34" ht="14.25" customHeight="1">
      <c r="A4" s="144" t="s">
        <v>0</v>
      </c>
      <c r="L4" s="1" t="s">
        <v>1</v>
      </c>
      <c r="Y4" s="1" t="s">
        <v>2</v>
      </c>
    </row>
    <row r="5" spans="1:34" ht="14.25" customHeight="1"/>
    <row r="6" spans="1:34" ht="14.25" customHeight="1">
      <c r="A6" s="2" t="s">
        <v>3</v>
      </c>
      <c r="L6" s="2" t="s">
        <v>3</v>
      </c>
      <c r="Y6" s="2" t="s">
        <v>3</v>
      </c>
    </row>
    <row r="7" spans="1:34" ht="14.25" customHeight="1">
      <c r="B7" s="3" t="s">
        <v>4</v>
      </c>
      <c r="C7" s="3">
        <v>740</v>
      </c>
      <c r="M7" s="3" t="s">
        <v>4</v>
      </c>
      <c r="N7" s="3">
        <v>740</v>
      </c>
      <c r="Z7" s="3" t="s">
        <v>4</v>
      </c>
      <c r="AA7" s="3">
        <v>700</v>
      </c>
    </row>
    <row r="8" spans="1:34" ht="14.25" customHeight="1">
      <c r="B8" s="3" t="s">
        <v>5</v>
      </c>
      <c r="C8" s="4">
        <v>230000</v>
      </c>
      <c r="M8" s="3" t="s">
        <v>5</v>
      </c>
      <c r="N8" s="4">
        <v>500000</v>
      </c>
      <c r="Z8" s="3" t="s">
        <v>5</v>
      </c>
      <c r="AA8" s="4">
        <v>2000000</v>
      </c>
    </row>
    <row r="9" spans="1:34" ht="14.25" customHeight="1">
      <c r="B9" s="3" t="s">
        <v>6</v>
      </c>
      <c r="C9" s="3">
        <v>2500</v>
      </c>
      <c r="M9" s="3" t="s">
        <v>6</v>
      </c>
      <c r="N9" s="3">
        <v>3000</v>
      </c>
      <c r="Z9" s="3" t="s">
        <v>6</v>
      </c>
      <c r="AA9" s="3">
        <v>4500</v>
      </c>
    </row>
    <row r="10" spans="1:34" ht="14.25" customHeight="1">
      <c r="B10" s="81" t="s">
        <v>7</v>
      </c>
      <c r="C10" s="81" t="s">
        <v>8</v>
      </c>
      <c r="M10" s="3" t="s">
        <v>9</v>
      </c>
      <c r="N10" s="3" t="s">
        <v>8</v>
      </c>
      <c r="Z10" s="3" t="s">
        <v>9</v>
      </c>
      <c r="AA10" s="3" t="s">
        <v>8</v>
      </c>
    </row>
    <row r="11" spans="1:34" ht="14.25" customHeight="1">
      <c r="B11" s="78" t="s">
        <v>4</v>
      </c>
      <c r="C11" s="78" t="s">
        <v>10</v>
      </c>
      <c r="E11" s="3" t="s">
        <v>11</v>
      </c>
      <c r="F11" s="5">
        <v>0.8</v>
      </c>
      <c r="M11" s="147" t="s">
        <v>12</v>
      </c>
      <c r="N11" s="147" t="s">
        <v>13</v>
      </c>
      <c r="P11" s="3" t="s">
        <v>11</v>
      </c>
      <c r="Q11" s="7">
        <v>70</v>
      </c>
      <c r="S11" t="s">
        <v>14</v>
      </c>
      <c r="T11">
        <v>-3.2</v>
      </c>
      <c r="Z11" s="6" t="s">
        <v>12</v>
      </c>
      <c r="AA11" s="6" t="s">
        <v>15</v>
      </c>
      <c r="AC11" s="3" t="s">
        <v>11</v>
      </c>
      <c r="AD11" s="7">
        <v>80</v>
      </c>
      <c r="AF11" t="s">
        <v>16</v>
      </c>
      <c r="AG11">
        <v>0</v>
      </c>
    </row>
    <row r="12" spans="1:34" ht="14.25" customHeight="1">
      <c r="B12" s="78" t="s">
        <v>17</v>
      </c>
      <c r="C12" s="146" t="s">
        <v>18</v>
      </c>
      <c r="E12" s="3" t="s">
        <v>19</v>
      </c>
      <c r="F12" s="8">
        <f>F11*C8</f>
        <v>184000</v>
      </c>
      <c r="H12" s="3" t="s">
        <v>20</v>
      </c>
      <c r="I12" s="7">
        <v>0</v>
      </c>
      <c r="M12" s="3" t="s">
        <v>21</v>
      </c>
      <c r="N12" s="3">
        <v>4.165</v>
      </c>
      <c r="P12" s="3" t="s">
        <v>19</v>
      </c>
      <c r="Q12" s="8">
        <f>(Q11*N8)/100</f>
        <v>350000</v>
      </c>
      <c r="S12" s="9" t="s">
        <v>20</v>
      </c>
      <c r="T12" s="10">
        <v>0.1</v>
      </c>
      <c r="Z12" s="19" t="s">
        <v>21</v>
      </c>
      <c r="AA12" s="19">
        <v>4.165</v>
      </c>
      <c r="AC12" s="3" t="s">
        <v>19</v>
      </c>
      <c r="AD12" s="8">
        <f>(AD11*AA8)/100</f>
        <v>1600000</v>
      </c>
      <c r="AF12" s="9" t="s">
        <v>20</v>
      </c>
      <c r="AG12" s="10">
        <v>0</v>
      </c>
    </row>
    <row r="13" spans="1:34" ht="14.25" customHeight="1">
      <c r="B13" s="78" t="s">
        <v>22</v>
      </c>
      <c r="C13" s="78" t="s">
        <v>23</v>
      </c>
      <c r="E13" s="3" t="s">
        <v>24</v>
      </c>
      <c r="F13" s="7">
        <v>1</v>
      </c>
      <c r="H13" s="3" t="s">
        <v>25</v>
      </c>
      <c r="I13" s="7">
        <v>0</v>
      </c>
      <c r="M13" s="3" t="s">
        <v>26</v>
      </c>
      <c r="N13" s="3">
        <v>102</v>
      </c>
      <c r="P13" s="3" t="s">
        <v>24</v>
      </c>
      <c r="Q13" s="7">
        <v>1</v>
      </c>
      <c r="S13" s="9" t="s">
        <v>25</v>
      </c>
      <c r="T13" s="10">
        <v>0</v>
      </c>
      <c r="Z13" s="19" t="s">
        <v>26</v>
      </c>
      <c r="AA13" s="19">
        <v>102</v>
      </c>
      <c r="AC13" s="3" t="s">
        <v>24</v>
      </c>
      <c r="AD13" s="7">
        <v>1.2</v>
      </c>
      <c r="AF13" s="9" t="s">
        <v>25</v>
      </c>
      <c r="AG13" s="10">
        <v>-0.25</v>
      </c>
    </row>
    <row r="14" spans="1:34" ht="14.25" customHeight="1">
      <c r="E14" s="3" t="s">
        <v>27</v>
      </c>
      <c r="F14" s="7">
        <f>C9*12</f>
        <v>30000</v>
      </c>
      <c r="H14" s="3" t="s">
        <v>28</v>
      </c>
      <c r="I14" s="7">
        <v>-0.3</v>
      </c>
      <c r="M14" s="3" t="s">
        <v>29</v>
      </c>
      <c r="N14" s="140">
        <v>1.5E-3</v>
      </c>
      <c r="P14" s="3" t="s">
        <v>27</v>
      </c>
      <c r="Q14" s="7">
        <f>N9*12</f>
        <v>36000</v>
      </c>
      <c r="S14" s="9" t="s">
        <v>28</v>
      </c>
      <c r="T14" s="10">
        <v>-0.2</v>
      </c>
      <c r="Z14" s="19" t="s">
        <v>29</v>
      </c>
      <c r="AA14" s="21">
        <v>1.5E-3</v>
      </c>
      <c r="AC14" s="3" t="s">
        <v>27</v>
      </c>
      <c r="AD14" s="7">
        <f>AA9*12</f>
        <v>54000</v>
      </c>
      <c r="AF14" s="9" t="s">
        <v>28</v>
      </c>
      <c r="AG14" s="10">
        <v>-0.4</v>
      </c>
    </row>
    <row r="15" spans="1:34" ht="14.25" customHeight="1">
      <c r="E15" s="3" t="s">
        <v>30</v>
      </c>
      <c r="F15" s="7">
        <f>F14*0.01</f>
        <v>300</v>
      </c>
      <c r="H15" s="3" t="s">
        <v>12</v>
      </c>
      <c r="I15" s="7" t="s">
        <v>31</v>
      </c>
      <c r="M15" s="3" t="s">
        <v>32</v>
      </c>
      <c r="N15" s="3">
        <v>7</v>
      </c>
      <c r="P15" s="3" t="s">
        <v>30</v>
      </c>
      <c r="Q15" s="7">
        <f>Q14*0.01</f>
        <v>360</v>
      </c>
      <c r="S15" s="9" t="s">
        <v>12</v>
      </c>
      <c r="T15" s="10">
        <v>0</v>
      </c>
      <c r="Z15" s="19" t="s">
        <v>32</v>
      </c>
      <c r="AA15" s="23">
        <v>5</v>
      </c>
      <c r="AC15" s="3" t="s">
        <v>30</v>
      </c>
      <c r="AD15" s="7">
        <f>AD14*0.01</f>
        <v>540</v>
      </c>
      <c r="AF15" s="9" t="s">
        <v>12</v>
      </c>
      <c r="AG15" s="10">
        <v>-0.15</v>
      </c>
    </row>
    <row r="16" spans="1:34" ht="14.25" customHeight="1">
      <c r="E16" s="81" t="s">
        <v>33</v>
      </c>
      <c r="F16" s="82">
        <f>F14-F15</f>
        <v>29700</v>
      </c>
      <c r="H16" s="3" t="s">
        <v>34</v>
      </c>
      <c r="I16" s="7">
        <v>0.5</v>
      </c>
      <c r="P16" s="3" t="s">
        <v>33</v>
      </c>
      <c r="Q16" s="7">
        <f>Q14-Q15</f>
        <v>35640</v>
      </c>
      <c r="S16" s="9" t="s">
        <v>34</v>
      </c>
      <c r="T16" s="10">
        <v>0.5</v>
      </c>
      <c r="U16" s="31" t="s">
        <v>35</v>
      </c>
      <c r="AC16" s="3" t="s">
        <v>33</v>
      </c>
      <c r="AD16" s="7">
        <f>AD14-AD15</f>
        <v>53460</v>
      </c>
      <c r="AF16" s="9" t="s">
        <v>34</v>
      </c>
      <c r="AG16" s="10">
        <v>0.5</v>
      </c>
      <c r="AH16" s="31" t="s">
        <v>35</v>
      </c>
    </row>
    <row r="17" spans="5:33" ht="14.25" customHeight="1">
      <c r="E17" s="32" t="s">
        <v>36</v>
      </c>
      <c r="F17" s="32">
        <f>IF(F13=1,F44,F43)</f>
        <v>29700</v>
      </c>
      <c r="H17" s="3" t="s">
        <v>24</v>
      </c>
      <c r="I17" s="7">
        <v>-0.6</v>
      </c>
      <c r="P17" s="32" t="s">
        <v>36</v>
      </c>
      <c r="Q17" s="32">
        <f>IF(Q13=1,Q44,Q43)</f>
        <v>35640</v>
      </c>
      <c r="R17" s="11"/>
      <c r="S17" s="9" t="s">
        <v>24</v>
      </c>
      <c r="T17" s="10">
        <v>-0.3</v>
      </c>
      <c r="AC17" s="32" t="s">
        <v>36</v>
      </c>
      <c r="AD17" s="32">
        <f>IF(AD13=1,AD44,AD43)</f>
        <v>44550</v>
      </c>
      <c r="AE17" s="11"/>
      <c r="AF17" s="9" t="s">
        <v>24</v>
      </c>
      <c r="AG17" s="10">
        <v>-0.5</v>
      </c>
    </row>
    <row r="18" spans="5:33" ht="14.25" customHeight="1">
      <c r="E18" s="83" t="s">
        <v>37</v>
      </c>
      <c r="F18" s="84"/>
      <c r="H18" s="3" t="s">
        <v>38</v>
      </c>
      <c r="I18" s="7" t="s">
        <v>31</v>
      </c>
      <c r="P18" s="3" t="s">
        <v>37</v>
      </c>
      <c r="Q18" s="5">
        <f>Q24/N8</f>
        <v>0.82297096191993091</v>
      </c>
      <c r="S18" s="3" t="s">
        <v>38</v>
      </c>
      <c r="T18" s="7">
        <v>0</v>
      </c>
      <c r="AC18" s="3" t="s">
        <v>37</v>
      </c>
      <c r="AD18" s="5">
        <f>AD24/AA8</f>
        <v>0.27170174780351836</v>
      </c>
      <c r="AF18" s="3" t="s">
        <v>38</v>
      </c>
      <c r="AG18" s="7"/>
    </row>
    <row r="19" spans="5:33" ht="14.25" customHeight="1">
      <c r="E19" s="3" t="s">
        <v>39</v>
      </c>
      <c r="F19" s="7">
        <v>4.165</v>
      </c>
      <c r="H19" s="3" t="s">
        <v>40</v>
      </c>
      <c r="I19" s="7">
        <v>-0.6</v>
      </c>
      <c r="P19" s="3" t="s">
        <v>39</v>
      </c>
      <c r="Q19" s="7">
        <v>4.165</v>
      </c>
      <c r="S19" s="3" t="s">
        <v>40</v>
      </c>
      <c r="T19" s="7">
        <v>-0.3</v>
      </c>
      <c r="AC19" s="3" t="s">
        <v>39</v>
      </c>
      <c r="AD19" s="7">
        <v>4.165</v>
      </c>
      <c r="AF19" s="3" t="s">
        <v>40</v>
      </c>
      <c r="AG19" s="7">
        <v>-0.3</v>
      </c>
    </row>
    <row r="20" spans="5:33" ht="14.25" customHeight="1">
      <c r="E20" s="3" t="s">
        <v>41</v>
      </c>
      <c r="F20" s="7">
        <v>102</v>
      </c>
      <c r="H20" s="3" t="s">
        <v>42</v>
      </c>
      <c r="I20" s="3">
        <f>SUM(I12:I19)</f>
        <v>-1</v>
      </c>
      <c r="P20" s="3" t="s">
        <v>41</v>
      </c>
      <c r="Q20" s="7">
        <v>102</v>
      </c>
      <c r="S20" s="3" t="s">
        <v>42</v>
      </c>
      <c r="T20" s="3">
        <f>SUM(T11:T19)</f>
        <v>-3.4</v>
      </c>
      <c r="AC20" s="3" t="s">
        <v>41</v>
      </c>
      <c r="AD20" s="7">
        <v>102</v>
      </c>
      <c r="AF20" s="3" t="s">
        <v>42</v>
      </c>
      <c r="AG20" s="3">
        <f>SUM(AG12:AG19)</f>
        <v>-1.1000000000000001</v>
      </c>
    </row>
    <row r="21" spans="5:33" ht="14.25" customHeight="1">
      <c r="E21" s="3" t="s">
        <v>43</v>
      </c>
      <c r="F21" s="12">
        <f>F20-(I20)+0.15</f>
        <v>103.15</v>
      </c>
      <c r="P21" s="3" t="s">
        <v>43</v>
      </c>
      <c r="Q21" s="12">
        <f>102-(T20)+0.15</f>
        <v>105.55000000000001</v>
      </c>
      <c r="AC21" s="3" t="s">
        <v>43</v>
      </c>
      <c r="AD21" s="12">
        <f>102-(AG20)+0.15</f>
        <v>103.25</v>
      </c>
    </row>
    <row r="22" spans="5:33" ht="14.25" customHeight="1">
      <c r="E22" s="3" t="s">
        <v>44</v>
      </c>
      <c r="F22" s="7">
        <v>307.5</v>
      </c>
      <c r="P22" s="3" t="s">
        <v>44</v>
      </c>
      <c r="Q22">
        <v>366.25</v>
      </c>
      <c r="AC22" s="3" t="s">
        <v>44</v>
      </c>
      <c r="AD22">
        <v>310</v>
      </c>
    </row>
    <row r="23" spans="5:33" ht="14.25" customHeight="1">
      <c r="E23" s="3" t="s">
        <v>45</v>
      </c>
      <c r="F23" s="79">
        <f>4.165%+(F22/10000)</f>
        <v>7.2399999999999992E-2</v>
      </c>
      <c r="P23" s="3" t="s">
        <v>45</v>
      </c>
      <c r="Q23" s="79">
        <f>4.165%+(Q22/10000)</f>
        <v>7.8274999999999997E-2</v>
      </c>
      <c r="AC23" s="3" t="s">
        <v>45</v>
      </c>
      <c r="AD23" s="5">
        <f>4.165%+(AD22/10000)</f>
        <v>7.2649999999999992E-2</v>
      </c>
    </row>
    <row r="24" spans="5:33" ht="14.25" customHeight="1">
      <c r="E24" s="3" t="s">
        <v>46</v>
      </c>
      <c r="F24" s="13">
        <f>-PV(F23/12,360,29700/12)</f>
        <v>363170.47110476549</v>
      </c>
      <c r="P24" s="3" t="s">
        <v>46</v>
      </c>
      <c r="Q24" s="13">
        <f>-PV(Q23/12,360,Q17/12)</f>
        <v>411485.48095996544</v>
      </c>
      <c r="AC24" s="3" t="s">
        <v>46</v>
      </c>
      <c r="AD24" s="13">
        <f>-PV(AD23/12,360,AD17/12)</f>
        <v>543403.49560703675</v>
      </c>
    </row>
    <row r="25" spans="5:33" ht="14.25" customHeight="1">
      <c r="E25" s="3" t="s">
        <v>47</v>
      </c>
      <c r="F25" s="80">
        <f>(F24/C8)</f>
        <v>1.579002048281589</v>
      </c>
      <c r="H25" s="31">
        <f>F16/1.2</f>
        <v>24750</v>
      </c>
      <c r="P25" s="3" t="s">
        <v>47</v>
      </c>
      <c r="Q25" s="5">
        <f>Q24/N8</f>
        <v>0.82297096191993091</v>
      </c>
      <c r="S25" s="31">
        <f>Q16/1.2</f>
        <v>29700</v>
      </c>
      <c r="AC25" s="3" t="s">
        <v>47</v>
      </c>
      <c r="AD25" s="5">
        <f>AD24/AA8</f>
        <v>0.27170174780351836</v>
      </c>
      <c r="AF25" s="31">
        <f>AD16/1.2</f>
        <v>44550</v>
      </c>
    </row>
    <row r="26" spans="5:33" ht="14.25" customHeight="1">
      <c r="E26" s="14"/>
      <c r="H26" s="22">
        <f>(-PV(F23/12,360,F16/12))</f>
        <v>363170.47110476549</v>
      </c>
      <c r="P26" s="14"/>
      <c r="AC26" s="14"/>
    </row>
    <row r="27" spans="5:33" ht="14.25" customHeight="1"/>
    <row r="28" spans="5:33" ht="14.25" customHeight="1">
      <c r="E28" s="145" t="s">
        <v>19</v>
      </c>
      <c r="F28" s="34">
        <f>F12</f>
        <v>184000</v>
      </c>
      <c r="P28" s="3" t="s">
        <v>19</v>
      </c>
      <c r="Q28" s="34">
        <f>Q12</f>
        <v>350000</v>
      </c>
      <c r="AC28" s="3" t="s">
        <v>19</v>
      </c>
      <c r="AD28" s="34">
        <f>AD12</f>
        <v>1600000</v>
      </c>
    </row>
    <row r="29" spans="5:33" ht="14.25" customHeight="1">
      <c r="E29" s="145" t="s">
        <v>46</v>
      </c>
      <c r="F29" s="35">
        <f>F24</f>
        <v>363170.47110476549</v>
      </c>
      <c r="P29" s="3" t="s">
        <v>46</v>
      </c>
      <c r="Q29" s="35">
        <f>Q24</f>
        <v>411485.48095996544</v>
      </c>
      <c r="AC29" s="3" t="s">
        <v>46</v>
      </c>
      <c r="AD29" s="35">
        <f>AD24</f>
        <v>543403.49560703675</v>
      </c>
    </row>
    <row r="30" spans="5:33" ht="14.25" customHeight="1"/>
    <row r="31" spans="5:33" ht="14.25" customHeight="1">
      <c r="E31" s="31" t="s">
        <v>48</v>
      </c>
      <c r="F31" s="33">
        <f>MIN(F28:F29)</f>
        <v>184000</v>
      </c>
      <c r="P31" s="31" t="s">
        <v>48</v>
      </c>
      <c r="Q31" s="33">
        <f>MIN(Q28:Q29)</f>
        <v>350000</v>
      </c>
      <c r="AC31" s="31" t="s">
        <v>48</v>
      </c>
      <c r="AD31" s="33">
        <f>MIN(AD28:AD29)</f>
        <v>543403.49560703675</v>
      </c>
    </row>
    <row r="32" spans="5:33" ht="14.25" customHeight="1"/>
    <row r="33" spans="5:31" ht="14.25" customHeight="1"/>
    <row r="34" spans="5:31" ht="14.25" customHeight="1"/>
    <row r="35" spans="5:31" ht="14.25" customHeight="1">
      <c r="E35" s="31" t="s">
        <v>49</v>
      </c>
      <c r="P35" s="305" t="s">
        <v>49</v>
      </c>
      <c r="Q35" s="306"/>
      <c r="AC35" s="305" t="s">
        <v>49</v>
      </c>
      <c r="AD35" s="306"/>
    </row>
    <row r="36" spans="5:31" ht="14.25" customHeight="1">
      <c r="E36" s="31" t="s">
        <v>50</v>
      </c>
      <c r="F36" s="33">
        <f>F31</f>
        <v>184000</v>
      </c>
      <c r="P36" s="36" t="s">
        <v>50</v>
      </c>
      <c r="Q36" s="37">
        <f>Q31</f>
        <v>350000</v>
      </c>
      <c r="AC36" s="36" t="s">
        <v>50</v>
      </c>
      <c r="AD36" s="37">
        <f>AD31</f>
        <v>543403.49560703675</v>
      </c>
    </row>
    <row r="37" spans="5:31" ht="14.25" customHeight="1">
      <c r="E37" s="31" t="s">
        <v>51</v>
      </c>
      <c r="F37" s="38">
        <f>F31/C8</f>
        <v>0.8</v>
      </c>
      <c r="P37" s="32" t="s">
        <v>51</v>
      </c>
      <c r="Q37" s="39">
        <f>Q31/N8</f>
        <v>0.7</v>
      </c>
      <c r="AC37" s="32" t="s">
        <v>51</v>
      </c>
      <c r="AD37" s="39">
        <f>AD31/AA8</f>
        <v>0.27170174780351836</v>
      </c>
    </row>
    <row r="38" spans="5:31" ht="14.25" customHeight="1">
      <c r="E38" s="31" t="s">
        <v>37</v>
      </c>
      <c r="F38" s="38">
        <f>F31/C8</f>
        <v>0.8</v>
      </c>
      <c r="P38" s="32" t="s">
        <v>37</v>
      </c>
      <c r="Q38" s="39">
        <f>Q31/N8</f>
        <v>0.7</v>
      </c>
      <c r="AC38" s="32" t="s">
        <v>37</v>
      </c>
      <c r="AD38" s="39">
        <f>AD31/AA8</f>
        <v>0.27170174780351836</v>
      </c>
    </row>
    <row r="39" spans="5:31" ht="14.25" customHeight="1">
      <c r="E39" s="31" t="s">
        <v>52</v>
      </c>
      <c r="F39" s="38">
        <f>F23</f>
        <v>7.2399999999999992E-2</v>
      </c>
      <c r="G39" s="38">
        <f>F39+0.3%</f>
        <v>7.5399999999999995E-2</v>
      </c>
      <c r="P39" s="32" t="s">
        <v>52</v>
      </c>
      <c r="Q39" s="39">
        <f>Q23</f>
        <v>7.8274999999999997E-2</v>
      </c>
      <c r="R39" s="38">
        <f>Q39+0.3%</f>
        <v>8.1275E-2</v>
      </c>
      <c r="AC39" s="32" t="s">
        <v>52</v>
      </c>
      <c r="AD39" s="39">
        <f>AD23</f>
        <v>7.2649999999999992E-2</v>
      </c>
      <c r="AE39" s="38">
        <f>AD39+0.3%</f>
        <v>7.5649999999999995E-2</v>
      </c>
    </row>
    <row r="40" spans="5:31" ht="14.25" customHeight="1">
      <c r="E40" s="31" t="s">
        <v>53</v>
      </c>
      <c r="F40" s="31">
        <v>360</v>
      </c>
      <c r="P40" s="32" t="s">
        <v>53</v>
      </c>
      <c r="Q40" s="32">
        <v>360</v>
      </c>
      <c r="AC40" s="32" t="s">
        <v>53</v>
      </c>
      <c r="AD40" s="32">
        <v>360</v>
      </c>
    </row>
    <row r="41" spans="5:31" ht="14.25" customHeight="1"/>
    <row r="42" spans="5:31" ht="14.25" customHeight="1"/>
    <row r="43" spans="5:31" ht="14.25" customHeight="1">
      <c r="E43" s="31" t="s">
        <v>54</v>
      </c>
      <c r="F43" s="31">
        <f>F16/1.2</f>
        <v>24750</v>
      </c>
      <c r="P43" s="31" t="s">
        <v>54</v>
      </c>
      <c r="Q43" s="31">
        <f>Q16/1.2</f>
        <v>29700</v>
      </c>
      <c r="AC43" s="31" t="s">
        <v>54</v>
      </c>
      <c r="AD43" s="31">
        <f>AD16/1.2</f>
        <v>44550</v>
      </c>
    </row>
    <row r="44" spans="5:31" ht="14.25" customHeight="1">
      <c r="E44" s="31" t="s">
        <v>55</v>
      </c>
      <c r="F44" s="31">
        <f>F16/1</f>
        <v>29700</v>
      </c>
      <c r="P44" s="31" t="s">
        <v>55</v>
      </c>
      <c r="Q44" s="31">
        <f>Q16/1</f>
        <v>35640</v>
      </c>
      <c r="AC44" s="31" t="s">
        <v>55</v>
      </c>
      <c r="AD44" s="31">
        <f>AD16/1</f>
        <v>53460</v>
      </c>
    </row>
    <row r="45" spans="5:31" ht="14.25" customHeight="1"/>
    <row r="46" spans="5:31" ht="14.25" customHeight="1"/>
    <row r="47" spans="5:31" ht="14.25" customHeight="1"/>
    <row r="48" spans="5:3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mergeCells count="2">
    <mergeCell ref="P35:Q35"/>
    <mergeCell ref="AC35:AD35"/>
  </mergeCells>
  <phoneticPr fontId="11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8"/>
  <sheetViews>
    <sheetView workbookViewId="0">
      <selection activeCell="E15" sqref="E15"/>
    </sheetView>
  </sheetViews>
  <sheetFormatPr defaultColWidth="14.42578125" defaultRowHeight="15" customHeight="1"/>
  <cols>
    <col min="1" max="1" width="12.28515625" customWidth="1"/>
    <col min="2" max="2" width="15.85546875" customWidth="1"/>
    <col min="3" max="3" width="13.5703125" customWidth="1"/>
    <col min="4" max="4" width="8.7109375" customWidth="1"/>
    <col min="5" max="5" width="12.7109375" customWidth="1"/>
    <col min="6" max="7" width="8.7109375" customWidth="1"/>
    <col min="8" max="8" width="12.42578125" customWidth="1"/>
    <col min="9" max="9" width="18.42578125" customWidth="1"/>
    <col min="10" max="10" width="11" customWidth="1"/>
    <col min="11" max="14" width="8.7109375" customWidth="1"/>
    <col min="15" max="15" width="12.85546875" customWidth="1"/>
    <col min="16" max="16" width="18.7109375" customWidth="1"/>
    <col min="17" max="17" width="14.42578125" customWidth="1"/>
    <col min="18" max="26" width="8.7109375" customWidth="1"/>
  </cols>
  <sheetData>
    <row r="1" spans="1:18" ht="14.25" customHeight="1">
      <c r="A1" s="2" t="s">
        <v>3</v>
      </c>
      <c r="H1" s="2" t="s">
        <v>3</v>
      </c>
      <c r="O1" s="2" t="s">
        <v>3</v>
      </c>
    </row>
    <row r="2" spans="1:18" ht="14.25" customHeight="1">
      <c r="B2" s="3" t="s">
        <v>4</v>
      </c>
      <c r="C2" s="3">
        <v>740</v>
      </c>
      <c r="I2" s="3" t="s">
        <v>4</v>
      </c>
      <c r="J2" s="3">
        <v>780</v>
      </c>
      <c r="P2" s="3" t="s">
        <v>4</v>
      </c>
      <c r="Q2" s="3">
        <v>778</v>
      </c>
    </row>
    <row r="3" spans="1:18" ht="14.25" customHeight="1">
      <c r="B3" s="3" t="s">
        <v>5</v>
      </c>
      <c r="C3" s="4">
        <v>2000000</v>
      </c>
      <c r="I3" s="3" t="s">
        <v>5</v>
      </c>
      <c r="J3" s="4">
        <v>330000</v>
      </c>
      <c r="P3" s="3" t="s">
        <v>5</v>
      </c>
      <c r="Q3" s="4">
        <v>2700000</v>
      </c>
    </row>
    <row r="4" spans="1:18" ht="14.25" customHeight="1">
      <c r="B4" s="3" t="s">
        <v>9</v>
      </c>
      <c r="C4" s="3" t="s">
        <v>8</v>
      </c>
      <c r="I4" s="3" t="s">
        <v>9</v>
      </c>
      <c r="J4" s="3" t="s">
        <v>8</v>
      </c>
      <c r="P4" s="3" t="s">
        <v>9</v>
      </c>
      <c r="Q4" s="3" t="s">
        <v>8</v>
      </c>
    </row>
    <row r="5" spans="1:18" ht="14.25" customHeight="1">
      <c r="B5" s="3" t="s">
        <v>17</v>
      </c>
      <c r="C5" s="3">
        <v>7</v>
      </c>
      <c r="I5" s="3" t="s">
        <v>17</v>
      </c>
      <c r="J5" s="3">
        <v>10</v>
      </c>
      <c r="P5" s="3" t="s">
        <v>17</v>
      </c>
      <c r="Q5" s="3">
        <v>5</v>
      </c>
    </row>
    <row r="6" spans="1:18" ht="14.25" customHeight="1">
      <c r="B6" s="31" t="s">
        <v>12</v>
      </c>
      <c r="C6" s="31" t="s">
        <v>10</v>
      </c>
      <c r="I6" s="31" t="s">
        <v>12</v>
      </c>
      <c r="J6" s="31" t="s">
        <v>56</v>
      </c>
      <c r="P6" s="31" t="s">
        <v>12</v>
      </c>
      <c r="Q6" s="31" t="s">
        <v>57</v>
      </c>
    </row>
    <row r="7" spans="1:18" ht="14.25" customHeight="1">
      <c r="D7" s="239"/>
    </row>
    <row r="8" spans="1:18" ht="14.25" customHeight="1">
      <c r="A8" s="47" t="s">
        <v>58</v>
      </c>
      <c r="B8" s="3" t="s">
        <v>59</v>
      </c>
      <c r="C8" s="18">
        <v>0.85</v>
      </c>
      <c r="H8" s="148" t="s">
        <v>58</v>
      </c>
      <c r="I8" s="3" t="s">
        <v>59</v>
      </c>
      <c r="J8" s="16">
        <v>0.76</v>
      </c>
      <c r="O8" s="148" t="s">
        <v>58</v>
      </c>
      <c r="P8" s="3" t="s">
        <v>59</v>
      </c>
      <c r="Q8" s="16">
        <v>0.72499999999999998</v>
      </c>
    </row>
    <row r="9" spans="1:18" ht="14.25" customHeight="1">
      <c r="B9" s="3" t="s">
        <v>37</v>
      </c>
      <c r="C9" s="17">
        <f>(C10/C3)*100</f>
        <v>85</v>
      </c>
      <c r="I9" s="3" t="s">
        <v>37</v>
      </c>
      <c r="J9" s="17">
        <f>(J10/J3)*100</f>
        <v>76</v>
      </c>
      <c r="P9" s="3" t="s">
        <v>37</v>
      </c>
      <c r="Q9" s="16">
        <f>(Q10/Q3)</f>
        <v>0.72499999999999998</v>
      </c>
    </row>
    <row r="10" spans="1:18" ht="14.25" customHeight="1">
      <c r="B10" s="3" t="s">
        <v>60</v>
      </c>
      <c r="C10" s="17">
        <f>C3*C8</f>
        <v>1700000</v>
      </c>
      <c r="I10" s="3" t="s">
        <v>60</v>
      </c>
      <c r="J10" s="17">
        <f>J3*J8</f>
        <v>250800</v>
      </c>
      <c r="P10" s="3" t="s">
        <v>60</v>
      </c>
      <c r="Q10" s="17">
        <f>Q3*Q8</f>
        <v>1957500</v>
      </c>
    </row>
    <row r="11" spans="1:18" ht="14.25" customHeight="1">
      <c r="B11" s="3" t="s">
        <v>61</v>
      </c>
      <c r="C11" s="17">
        <v>8.6539999999999999</v>
      </c>
      <c r="D11" s="31">
        <f>C11+0.3</f>
        <v>8.9540000000000006</v>
      </c>
      <c r="I11" s="3" t="s">
        <v>61</v>
      </c>
      <c r="J11" s="17">
        <v>9.8699999999999992</v>
      </c>
      <c r="K11" s="31">
        <f>J11+0.3</f>
        <v>10.17</v>
      </c>
      <c r="P11" s="3" t="s">
        <v>61</v>
      </c>
      <c r="Q11" s="17">
        <v>10.545</v>
      </c>
      <c r="R11" s="31">
        <f>Q11+0.3</f>
        <v>10.845000000000001</v>
      </c>
    </row>
    <row r="12" spans="1:18" ht="14.25" customHeight="1">
      <c r="B12" s="3" t="s">
        <v>53</v>
      </c>
      <c r="C12" s="17" t="s">
        <v>62</v>
      </c>
      <c r="I12" s="3" t="s">
        <v>53</v>
      </c>
      <c r="J12" s="17" t="s">
        <v>62</v>
      </c>
      <c r="P12" s="3" t="s">
        <v>53</v>
      </c>
      <c r="Q12" s="17" t="s">
        <v>62</v>
      </c>
    </row>
    <row r="13" spans="1:18" ht="14.25" customHeight="1"/>
    <row r="14" spans="1:18" ht="14.25" customHeight="1"/>
    <row r="15" spans="1:18" ht="14.25" customHeight="1">
      <c r="A15" s="2" t="s">
        <v>3</v>
      </c>
      <c r="H15" s="2" t="s">
        <v>3</v>
      </c>
      <c r="O15" s="2" t="s">
        <v>3</v>
      </c>
    </row>
    <row r="16" spans="1:18" ht="14.25" customHeight="1">
      <c r="B16" s="3" t="s">
        <v>4</v>
      </c>
      <c r="C16" s="3">
        <v>740</v>
      </c>
      <c r="I16" s="3" t="s">
        <v>4</v>
      </c>
      <c r="J16" s="3">
        <v>720</v>
      </c>
      <c r="P16" s="3" t="s">
        <v>4</v>
      </c>
      <c r="Q16" s="3">
        <v>700</v>
      </c>
    </row>
    <row r="17" spans="1:18" ht="14.25" customHeight="1">
      <c r="B17" s="3" t="s">
        <v>5</v>
      </c>
      <c r="C17" s="4">
        <v>250000</v>
      </c>
      <c r="I17" s="3" t="s">
        <v>5</v>
      </c>
      <c r="J17" s="4">
        <v>1100000</v>
      </c>
      <c r="P17" s="3" t="s">
        <v>5</v>
      </c>
      <c r="Q17" s="4">
        <v>1200000</v>
      </c>
    </row>
    <row r="18" spans="1:18" ht="14.25" customHeight="1">
      <c r="B18" s="3" t="s">
        <v>9</v>
      </c>
      <c r="C18" s="3" t="s">
        <v>63</v>
      </c>
      <c r="I18" s="3" t="s">
        <v>9</v>
      </c>
      <c r="J18" s="3" t="s">
        <v>63</v>
      </c>
      <c r="P18" s="3" t="s">
        <v>9</v>
      </c>
      <c r="Q18" s="3" t="s">
        <v>63</v>
      </c>
    </row>
    <row r="19" spans="1:18" ht="14.25" customHeight="1">
      <c r="B19" s="3" t="s">
        <v>17</v>
      </c>
      <c r="C19" s="3">
        <v>7</v>
      </c>
      <c r="I19" s="3" t="s">
        <v>17</v>
      </c>
      <c r="J19" s="3">
        <v>5</v>
      </c>
      <c r="P19" s="3" t="s">
        <v>17</v>
      </c>
      <c r="Q19" s="3">
        <v>3</v>
      </c>
    </row>
    <row r="20" spans="1:18" ht="14.25" customHeight="1">
      <c r="B20" s="31" t="s">
        <v>12</v>
      </c>
      <c r="C20" s="31" t="s">
        <v>64</v>
      </c>
      <c r="I20" s="31" t="s">
        <v>12</v>
      </c>
      <c r="J20" s="31" t="s">
        <v>56</v>
      </c>
      <c r="P20" s="31" t="s">
        <v>12</v>
      </c>
      <c r="Q20" s="31" t="s">
        <v>57</v>
      </c>
    </row>
    <row r="21" spans="1:18" ht="14.25" customHeight="1"/>
    <row r="22" spans="1:18" ht="14.25" customHeight="1">
      <c r="A22" s="148" t="s">
        <v>58</v>
      </c>
      <c r="B22" s="3" t="s">
        <v>59</v>
      </c>
      <c r="C22" s="15">
        <v>0.8</v>
      </c>
      <c r="H22" s="148" t="s">
        <v>58</v>
      </c>
      <c r="I22" s="3" t="s">
        <v>59</v>
      </c>
      <c r="J22" s="18">
        <v>0.77500000000000002</v>
      </c>
      <c r="O22" s="148" t="s">
        <v>58</v>
      </c>
      <c r="P22" s="3" t="s">
        <v>59</v>
      </c>
      <c r="Q22" s="18">
        <v>0.72499999999999998</v>
      </c>
    </row>
    <row r="23" spans="1:18" ht="14.25" customHeight="1">
      <c r="B23" s="3" t="s">
        <v>37</v>
      </c>
      <c r="C23" s="17">
        <f>(C24/C17)*100</f>
        <v>80</v>
      </c>
      <c r="I23" s="3" t="s">
        <v>37</v>
      </c>
      <c r="J23" s="17">
        <f>(J24/J17)*100</f>
        <v>77.5</v>
      </c>
      <c r="P23" s="3" t="s">
        <v>37</v>
      </c>
      <c r="Q23" s="17">
        <f>(Q24/Q17)*100</f>
        <v>72.5</v>
      </c>
    </row>
    <row r="24" spans="1:18" ht="14.25" customHeight="1">
      <c r="B24" s="3" t="s">
        <v>60</v>
      </c>
      <c r="C24" s="17">
        <f>C17*C22</f>
        <v>200000</v>
      </c>
      <c r="I24" s="3" t="s">
        <v>60</v>
      </c>
      <c r="J24" s="17">
        <f>J17*J22</f>
        <v>852500</v>
      </c>
      <c r="P24" s="3" t="s">
        <v>60</v>
      </c>
      <c r="Q24" s="17">
        <f>Q17*Q22</f>
        <v>870000</v>
      </c>
    </row>
    <row r="25" spans="1:18" ht="14.25" customHeight="1">
      <c r="B25" s="3" t="s">
        <v>61</v>
      </c>
      <c r="C25" s="17">
        <v>9.3450000000000006</v>
      </c>
      <c r="D25" s="31">
        <f>C25+0.3</f>
        <v>9.6450000000000014</v>
      </c>
      <c r="I25" s="3" t="s">
        <v>61</v>
      </c>
      <c r="J25" s="17">
        <v>9.8699999999999992</v>
      </c>
      <c r="K25" s="31">
        <f>J25+0.3</f>
        <v>10.17</v>
      </c>
      <c r="P25" s="3" t="s">
        <v>61</v>
      </c>
      <c r="Q25" s="17">
        <v>10.494999999999999</v>
      </c>
      <c r="R25" s="31">
        <f>Q25+0.3</f>
        <v>10.795</v>
      </c>
    </row>
    <row r="26" spans="1:18" ht="14.25" customHeight="1">
      <c r="B26" s="3" t="s">
        <v>53</v>
      </c>
      <c r="C26" s="17" t="s">
        <v>62</v>
      </c>
      <c r="I26" s="3" t="s">
        <v>53</v>
      </c>
      <c r="J26" s="17" t="s">
        <v>62</v>
      </c>
      <c r="P26" s="3" t="s">
        <v>53</v>
      </c>
      <c r="Q26" s="17" t="s">
        <v>62</v>
      </c>
    </row>
    <row r="27" spans="1:18" ht="14.25" customHeight="1"/>
    <row r="28" spans="1:18" ht="14.25" customHeight="1"/>
    <row r="29" spans="1:18" ht="14.25" customHeight="1"/>
    <row r="30" spans="1:18" ht="14.25" customHeight="1"/>
    <row r="31" spans="1:18" ht="14.25" customHeight="1"/>
    <row r="32" spans="1:1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964"/>
  <sheetViews>
    <sheetView zoomScale="97" zoomScaleNormal="74" workbookViewId="0">
      <selection activeCell="B9" sqref="B9"/>
    </sheetView>
  </sheetViews>
  <sheetFormatPr defaultColWidth="14.42578125" defaultRowHeight="15" customHeight="1"/>
  <cols>
    <col min="1" max="1" width="20.42578125" customWidth="1"/>
    <col min="2" max="2" width="16.7109375" bestFit="1" customWidth="1"/>
    <col min="3" max="3" width="14" customWidth="1"/>
    <col min="4" max="4" width="24.42578125" customWidth="1"/>
    <col min="5" max="5" width="21.140625" customWidth="1"/>
    <col min="6" max="7" width="8.7109375" customWidth="1"/>
    <col min="8" max="8" width="20.28515625" customWidth="1"/>
    <col min="9" max="9" width="16.140625" customWidth="1"/>
    <col min="10" max="11" width="22.85546875" customWidth="1"/>
    <col min="12" max="12" width="11.85546875" bestFit="1" customWidth="1"/>
    <col min="13" max="14" width="8.7109375" customWidth="1"/>
    <col min="15" max="15" width="18.140625" customWidth="1"/>
    <col min="16" max="16" width="14.85546875" customWidth="1"/>
    <col min="17" max="17" width="14" customWidth="1"/>
    <col min="18" max="18" width="19.85546875" bestFit="1" customWidth="1"/>
    <col min="19" max="19" width="11.85546875" bestFit="1" customWidth="1"/>
    <col min="20" max="21" width="8.7109375" customWidth="1"/>
    <col min="22" max="22" width="20.28515625" customWidth="1"/>
    <col min="23" max="23" width="14.5703125" customWidth="1"/>
    <col min="24" max="24" width="8.7109375" customWidth="1"/>
    <col min="25" max="25" width="13" customWidth="1"/>
    <col min="26" max="26" width="11.140625" customWidth="1"/>
    <col min="27" max="27" width="10.7109375" customWidth="1"/>
    <col min="29" max="29" width="19.85546875" bestFit="1" customWidth="1"/>
    <col min="32" max="32" width="18.28515625" customWidth="1"/>
  </cols>
  <sheetData>
    <row r="1" spans="1:48" ht="15" customHeight="1">
      <c r="A1" s="26" t="s">
        <v>0</v>
      </c>
      <c r="H1" s="26" t="s">
        <v>1</v>
      </c>
      <c r="O1" s="26" t="s">
        <v>2</v>
      </c>
      <c r="V1" s="26" t="s">
        <v>65</v>
      </c>
      <c r="AC1" s="26" t="s">
        <v>66</v>
      </c>
      <c r="AJ1" s="26" t="s">
        <v>67</v>
      </c>
      <c r="AQ1" s="26" t="s">
        <v>67</v>
      </c>
    </row>
    <row r="2" spans="1:48" ht="14.25" customHeight="1">
      <c r="A2" s="32" t="s">
        <v>68</v>
      </c>
      <c r="B2" s="151">
        <v>500000</v>
      </c>
      <c r="H2" s="32" t="s">
        <v>68</v>
      </c>
      <c r="I2" s="78">
        <v>550000</v>
      </c>
      <c r="O2" s="32" t="s">
        <v>68</v>
      </c>
      <c r="P2" s="151">
        <v>2000000</v>
      </c>
      <c r="V2" s="32" t="s">
        <v>68</v>
      </c>
      <c r="W2" s="151">
        <v>670000</v>
      </c>
      <c r="AC2" s="32" t="s">
        <v>68</v>
      </c>
      <c r="AD2" s="78">
        <v>1200000</v>
      </c>
      <c r="AJ2" s="32" t="s">
        <v>68</v>
      </c>
      <c r="AK2" s="151">
        <v>5000000</v>
      </c>
      <c r="AQ2" s="32" t="s">
        <v>68</v>
      </c>
      <c r="AR2" s="151">
        <v>4500000</v>
      </c>
    </row>
    <row r="3" spans="1:48" ht="14.25" customHeight="1">
      <c r="A3" s="32" t="s">
        <v>69</v>
      </c>
      <c r="B3" s="151">
        <v>200000</v>
      </c>
      <c r="H3" s="32" t="s">
        <v>69</v>
      </c>
      <c r="I3" s="78">
        <v>65000</v>
      </c>
      <c r="O3" s="32" t="s">
        <v>69</v>
      </c>
      <c r="P3" s="151">
        <v>280000</v>
      </c>
      <c r="V3" s="32" t="s">
        <v>69</v>
      </c>
      <c r="W3" s="151">
        <v>500000</v>
      </c>
      <c r="AC3" s="32" t="s">
        <v>69</v>
      </c>
      <c r="AD3" s="78">
        <v>500000</v>
      </c>
      <c r="AJ3" s="32" t="s">
        <v>69</v>
      </c>
      <c r="AK3" s="151">
        <v>2000000</v>
      </c>
      <c r="AQ3" s="32" t="s">
        <v>69</v>
      </c>
      <c r="AR3" s="151">
        <v>650000</v>
      </c>
    </row>
    <row r="4" spans="1:48" ht="14.25" customHeight="1">
      <c r="A4" s="32" t="s">
        <v>70</v>
      </c>
      <c r="B4" s="151">
        <v>1200000</v>
      </c>
      <c r="H4" s="32" t="s">
        <v>70</v>
      </c>
      <c r="I4" s="78">
        <v>5000000</v>
      </c>
      <c r="O4" s="32" t="s">
        <v>70</v>
      </c>
      <c r="P4" s="151">
        <v>2500000</v>
      </c>
      <c r="V4" s="32" t="s">
        <v>70</v>
      </c>
      <c r="W4" s="151">
        <v>4600000</v>
      </c>
      <c r="AC4" s="32" t="s">
        <v>70</v>
      </c>
      <c r="AD4" s="78">
        <v>4600000</v>
      </c>
      <c r="AJ4" s="32" t="s">
        <v>70</v>
      </c>
      <c r="AK4" s="151">
        <v>7000000</v>
      </c>
      <c r="AQ4" s="32" t="s">
        <v>70</v>
      </c>
      <c r="AR4" s="151">
        <v>6000000</v>
      </c>
    </row>
    <row r="5" spans="1:48" ht="14.25" customHeight="1">
      <c r="A5" s="32" t="s">
        <v>28</v>
      </c>
      <c r="B5" s="78">
        <v>740</v>
      </c>
      <c r="H5" s="32" t="s">
        <v>28</v>
      </c>
      <c r="I5" s="78">
        <v>720</v>
      </c>
      <c r="O5" s="32" t="s">
        <v>28</v>
      </c>
      <c r="P5" s="78">
        <v>740</v>
      </c>
      <c r="V5" s="32" t="s">
        <v>28</v>
      </c>
      <c r="W5" s="78">
        <v>740</v>
      </c>
      <c r="AC5" s="32" t="s">
        <v>28</v>
      </c>
      <c r="AD5" s="78">
        <v>740</v>
      </c>
      <c r="AJ5" s="32" t="s">
        <v>28</v>
      </c>
      <c r="AK5" s="78">
        <v>740</v>
      </c>
      <c r="AQ5" s="32" t="s">
        <v>28</v>
      </c>
      <c r="AR5" s="78">
        <v>740</v>
      </c>
    </row>
    <row r="6" spans="1:48" ht="14.25" customHeight="1">
      <c r="A6" s="32" t="s">
        <v>12</v>
      </c>
      <c r="B6" s="32" t="s">
        <v>71</v>
      </c>
      <c r="H6" s="32" t="s">
        <v>12</v>
      </c>
      <c r="I6" s="32" t="s">
        <v>71</v>
      </c>
      <c r="O6" s="32" t="s">
        <v>12</v>
      </c>
      <c r="P6" s="32" t="s">
        <v>71</v>
      </c>
      <c r="V6" s="32" t="s">
        <v>12</v>
      </c>
      <c r="W6" s="32" t="s">
        <v>71</v>
      </c>
      <c r="AC6" s="32" t="s">
        <v>12</v>
      </c>
      <c r="AD6" s="32" t="s">
        <v>71</v>
      </c>
      <c r="AJ6" s="32" t="s">
        <v>12</v>
      </c>
      <c r="AK6" s="32" t="s">
        <v>71</v>
      </c>
      <c r="AQ6" s="32" t="s">
        <v>12</v>
      </c>
      <c r="AR6" s="32" t="s">
        <v>71</v>
      </c>
    </row>
    <row r="7" spans="1:48" ht="14.25" customHeight="1">
      <c r="A7" s="32" t="s">
        <v>17</v>
      </c>
      <c r="B7" s="78">
        <v>2</v>
      </c>
      <c r="H7" s="32" t="s">
        <v>17</v>
      </c>
      <c r="I7" s="78">
        <v>5</v>
      </c>
      <c r="O7" s="32" t="s">
        <v>17</v>
      </c>
      <c r="P7" s="78">
        <v>7</v>
      </c>
      <c r="V7" s="32" t="s">
        <v>17</v>
      </c>
      <c r="W7" s="78">
        <v>7</v>
      </c>
      <c r="AC7" s="32" t="s">
        <v>17</v>
      </c>
      <c r="AD7" s="78">
        <v>7</v>
      </c>
      <c r="AJ7" s="32" t="s">
        <v>17</v>
      </c>
      <c r="AK7" s="78">
        <v>7</v>
      </c>
      <c r="AQ7" s="32" t="s">
        <v>17</v>
      </c>
      <c r="AR7" s="78">
        <v>3</v>
      </c>
    </row>
    <row r="8" spans="1:48" ht="14.25" customHeight="1"/>
    <row r="9" spans="1:48" ht="14.25" customHeight="1">
      <c r="A9" s="32" t="s">
        <v>60</v>
      </c>
      <c r="B9" s="151">
        <f>(B2*50%)+B3</f>
        <v>450000</v>
      </c>
      <c r="H9" s="32" t="s">
        <v>60</v>
      </c>
      <c r="I9" s="78">
        <f>(I2*50%)+I3</f>
        <v>340000</v>
      </c>
      <c r="O9" s="32" t="s">
        <v>60</v>
      </c>
      <c r="P9" s="78">
        <f>(P2*50%)+P3</f>
        <v>1280000</v>
      </c>
      <c r="V9" s="32" t="s">
        <v>60</v>
      </c>
      <c r="W9" s="78">
        <f>(W2*50%)+W3</f>
        <v>835000</v>
      </c>
      <c r="AC9" s="32" t="s">
        <v>60</v>
      </c>
      <c r="AD9" s="78">
        <f>(AD2*50%)+AD3</f>
        <v>1100000</v>
      </c>
      <c r="AJ9" s="32" t="s">
        <v>60</v>
      </c>
      <c r="AK9" s="78">
        <f>(AK2*50%)+AK3</f>
        <v>4500000</v>
      </c>
      <c r="AQ9" s="32" t="s">
        <v>60</v>
      </c>
      <c r="AR9" s="151">
        <f>(AR2*50%)+AR3</f>
        <v>2900000</v>
      </c>
      <c r="AT9" s="151">
        <f>AS10</f>
        <v>3000000</v>
      </c>
    </row>
    <row r="10" spans="1:48" ht="14.25" customHeight="1">
      <c r="A10" s="32" t="s">
        <v>72</v>
      </c>
      <c r="B10" s="278">
        <v>0.47499999999999998</v>
      </c>
      <c r="C10" s="151">
        <f>(B4*B10)</f>
        <v>570000</v>
      </c>
      <c r="H10" s="32" t="s">
        <v>72</v>
      </c>
      <c r="I10" s="141">
        <v>0.55000000000000004</v>
      </c>
      <c r="J10" s="78">
        <f>I4*I10</f>
        <v>2750000</v>
      </c>
      <c r="O10" s="32" t="s">
        <v>72</v>
      </c>
      <c r="P10" s="141">
        <v>0.57499999999999996</v>
      </c>
      <c r="Q10" s="78">
        <f>P4*P10</f>
        <v>1437500</v>
      </c>
      <c r="V10" s="32" t="s">
        <v>72</v>
      </c>
      <c r="W10" s="141">
        <v>0.57499999999999996</v>
      </c>
      <c r="X10" s="78">
        <f>W4*W10</f>
        <v>2645000</v>
      </c>
      <c r="AC10" s="32" t="s">
        <v>72</v>
      </c>
      <c r="AD10" s="141">
        <v>0.57499999999999996</v>
      </c>
      <c r="AE10" s="78">
        <f>AD4*AD10</f>
        <v>2645000</v>
      </c>
      <c r="AJ10" s="32" t="s">
        <v>72</v>
      </c>
      <c r="AK10" s="141">
        <v>0.52500000000000002</v>
      </c>
      <c r="AL10" s="151">
        <f>AK4*AK10</f>
        <v>3675000</v>
      </c>
      <c r="AQ10" s="32" t="s">
        <v>72</v>
      </c>
      <c r="AR10" s="141">
        <v>0.5</v>
      </c>
      <c r="AS10" s="151">
        <f>AR4*AR10</f>
        <v>3000000</v>
      </c>
    </row>
    <row r="11" spans="1:48" ht="14.25" customHeight="1">
      <c r="A11" s="32" t="s">
        <v>37</v>
      </c>
      <c r="B11" s="241">
        <v>0.65</v>
      </c>
      <c r="C11" s="151">
        <f>(B2+B3)*B11</f>
        <v>455000</v>
      </c>
      <c r="H11" s="32" t="s">
        <v>37</v>
      </c>
      <c r="I11" s="139">
        <v>0.72499999999999998</v>
      </c>
      <c r="J11" s="78">
        <f>(I2+I3)*I11</f>
        <v>445875</v>
      </c>
      <c r="O11" s="32" t="s">
        <v>37</v>
      </c>
      <c r="P11" s="139">
        <v>0.75</v>
      </c>
      <c r="Q11" s="78">
        <f>(P2+P3)*P11</f>
        <v>1710000</v>
      </c>
      <c r="V11" s="32" t="s">
        <v>37</v>
      </c>
      <c r="W11" s="139">
        <v>0.75</v>
      </c>
      <c r="X11" s="78">
        <f>(W2+W3)*W11</f>
        <v>877500</v>
      </c>
      <c r="AC11" s="32" t="s">
        <v>37</v>
      </c>
      <c r="AD11" s="139">
        <v>0.75</v>
      </c>
      <c r="AE11" s="78">
        <f>(AD2+AD3)*AD11</f>
        <v>1275000</v>
      </c>
      <c r="AJ11" s="32" t="s">
        <v>37</v>
      </c>
      <c r="AK11" s="139">
        <v>0.7</v>
      </c>
      <c r="AL11" s="151">
        <f>(AK2+AK3)*AK11</f>
        <v>4900000</v>
      </c>
      <c r="AQ11" s="32" t="s">
        <v>37</v>
      </c>
      <c r="AR11" s="139">
        <v>0.67500000000000004</v>
      </c>
      <c r="AS11" s="151">
        <f>(AR2+AR3)*AR11</f>
        <v>3476250</v>
      </c>
    </row>
    <row r="12" spans="1:48" ht="14.25" customHeight="1">
      <c r="A12" s="32" t="s">
        <v>59</v>
      </c>
      <c r="B12" s="240">
        <v>0.5</v>
      </c>
      <c r="H12" s="32" t="s">
        <v>59</v>
      </c>
      <c r="I12" s="137">
        <v>0.57499999999999996</v>
      </c>
      <c r="O12" s="32" t="s">
        <v>59</v>
      </c>
      <c r="P12" s="137">
        <v>0.6</v>
      </c>
      <c r="V12" s="32" t="s">
        <v>59</v>
      </c>
      <c r="W12" s="137">
        <v>0.6</v>
      </c>
      <c r="AC12" s="32" t="s">
        <v>59</v>
      </c>
      <c r="AD12" s="137">
        <v>0.6</v>
      </c>
      <c r="AJ12" s="32" t="s">
        <v>59</v>
      </c>
      <c r="AK12" s="137">
        <v>0.55000000000000004</v>
      </c>
      <c r="AQ12" s="32" t="s">
        <v>59</v>
      </c>
      <c r="AR12" s="137">
        <v>0.52500000000000002</v>
      </c>
    </row>
    <row r="13" spans="1:48" ht="14.25" customHeight="1">
      <c r="A13" s="32" t="s">
        <v>73</v>
      </c>
      <c r="B13" s="151">
        <f>MIN(C10:C11)</f>
        <v>455000</v>
      </c>
      <c r="D13" s="142" t="s">
        <v>74</v>
      </c>
      <c r="H13" s="32" t="s">
        <v>73</v>
      </c>
      <c r="I13" s="78">
        <f>MIN(J10:J11)</f>
        <v>445875</v>
      </c>
      <c r="K13" s="142" t="s">
        <v>74</v>
      </c>
      <c r="O13" s="32" t="s">
        <v>73</v>
      </c>
      <c r="P13" s="78">
        <f>MIN(Q10:Q11)</f>
        <v>1437500</v>
      </c>
      <c r="R13" s="142" t="s">
        <v>74</v>
      </c>
      <c r="V13" s="32" t="s">
        <v>73</v>
      </c>
      <c r="W13" s="78">
        <f>MIN(X10:X11)</f>
        <v>877500</v>
      </c>
      <c r="Y13" s="142" t="s">
        <v>74</v>
      </c>
      <c r="AC13" s="32" t="s">
        <v>73</v>
      </c>
      <c r="AD13" s="78">
        <f>MIN(AE10:AE11)</f>
        <v>1275000</v>
      </c>
      <c r="AF13" s="31" t="s">
        <v>74</v>
      </c>
      <c r="AJ13" s="32" t="s">
        <v>73</v>
      </c>
      <c r="AK13" s="78">
        <f>MIN(AL10:AL11)</f>
        <v>3675000</v>
      </c>
      <c r="AM13" s="142" t="s">
        <v>74</v>
      </c>
      <c r="AQ13" s="32" t="s">
        <v>73</v>
      </c>
      <c r="AR13" s="78">
        <f>MIN(AS10:AS11)</f>
        <v>3000000</v>
      </c>
      <c r="AT13" s="142" t="s">
        <v>74</v>
      </c>
    </row>
    <row r="14" spans="1:48" ht="14.25" customHeight="1">
      <c r="A14" s="32" t="s">
        <v>75</v>
      </c>
      <c r="B14" s="151">
        <f>B2*B12</f>
        <v>250000</v>
      </c>
      <c r="D14" s="143" t="s">
        <v>59</v>
      </c>
      <c r="E14" s="24">
        <f>(B14/B2)*100</f>
        <v>50</v>
      </c>
      <c r="F14" s="24"/>
      <c r="H14" s="32" t="s">
        <v>75</v>
      </c>
      <c r="I14" s="78">
        <f>I2*I12</f>
        <v>316250</v>
      </c>
      <c r="K14" s="143" t="s">
        <v>59</v>
      </c>
      <c r="L14" s="24">
        <f>(I14/I2)*100</f>
        <v>57.499999999999993</v>
      </c>
      <c r="M14" s="24"/>
      <c r="O14" s="32" t="s">
        <v>75</v>
      </c>
      <c r="P14" s="151">
        <f>P2*P12</f>
        <v>1200000</v>
      </c>
      <c r="R14" s="143" t="s">
        <v>59</v>
      </c>
      <c r="S14" s="24">
        <f>(P14/P2)*100</f>
        <v>60</v>
      </c>
      <c r="T14" s="24"/>
      <c r="V14" s="32" t="s">
        <v>75</v>
      </c>
      <c r="W14" s="151">
        <f>W2*W12</f>
        <v>402000</v>
      </c>
      <c r="Y14" s="143" t="s">
        <v>59</v>
      </c>
      <c r="Z14" s="24">
        <f>(W14/W2)*100</f>
        <v>60</v>
      </c>
      <c r="AA14" s="24"/>
      <c r="AC14" s="32" t="s">
        <v>75</v>
      </c>
      <c r="AD14" s="78">
        <f>AD2*AD12</f>
        <v>720000</v>
      </c>
      <c r="AF14" s="40" t="s">
        <v>59</v>
      </c>
      <c r="AG14" s="24">
        <f>(AD14/AD2)*100</f>
        <v>60</v>
      </c>
      <c r="AH14" s="24"/>
      <c r="AJ14" s="32" t="s">
        <v>75</v>
      </c>
      <c r="AK14" s="78">
        <f>AK2*AK12</f>
        <v>2750000</v>
      </c>
      <c r="AM14" s="143" t="s">
        <v>59</v>
      </c>
      <c r="AN14" s="24">
        <f>(AK14/AK2)*100</f>
        <v>55.000000000000007</v>
      </c>
      <c r="AO14" s="24"/>
      <c r="AQ14" s="32" t="s">
        <v>75</v>
      </c>
      <c r="AR14" s="78">
        <f>AR2*AR12</f>
        <v>2362500</v>
      </c>
      <c r="AT14" s="143" t="s">
        <v>59</v>
      </c>
      <c r="AU14" s="24">
        <f>(AR14/AR2)*100</f>
        <v>52.5</v>
      </c>
      <c r="AV14" s="24"/>
    </row>
    <row r="15" spans="1:48" ht="14.25" customHeight="1">
      <c r="A15" s="32" t="s">
        <v>76</v>
      </c>
      <c r="B15" s="151">
        <f>B14+B3</f>
        <v>450000</v>
      </c>
      <c r="C15" s="31"/>
      <c r="D15" s="40" t="s">
        <v>37</v>
      </c>
      <c r="E15" s="149">
        <f>(B16/(B2+B3))*100</f>
        <v>64.285714285714292</v>
      </c>
      <c r="F15" s="24"/>
      <c r="H15" s="32" t="s">
        <v>76</v>
      </c>
      <c r="I15" s="78">
        <f>I14+I3</f>
        <v>381250</v>
      </c>
      <c r="J15" s="31"/>
      <c r="K15" s="40" t="s">
        <v>37</v>
      </c>
      <c r="L15" s="24">
        <f>(I16/(I2+I3))*100</f>
        <v>61.99186991869918</v>
      </c>
      <c r="M15" s="24"/>
      <c r="O15" s="32" t="s">
        <v>76</v>
      </c>
      <c r="P15" s="78">
        <f>P14+P3</f>
        <v>1480000</v>
      </c>
      <c r="Q15" s="31"/>
      <c r="R15" s="40" t="s">
        <v>37</v>
      </c>
      <c r="S15" s="24">
        <f>(P16/(P2+P3))*100</f>
        <v>63.048245614035089</v>
      </c>
      <c r="T15" s="24"/>
      <c r="V15" s="32" t="s">
        <v>76</v>
      </c>
      <c r="W15" s="151">
        <f>W14+W3</f>
        <v>902000</v>
      </c>
      <c r="X15" s="31"/>
      <c r="Y15" s="40" t="s">
        <v>37</v>
      </c>
      <c r="Z15" s="149">
        <f>(W16/(W2+W3))*100</f>
        <v>75</v>
      </c>
      <c r="AA15" s="24"/>
      <c r="AC15" s="32" t="s">
        <v>76</v>
      </c>
      <c r="AD15" s="78">
        <f>AD14+AD3</f>
        <v>1220000</v>
      </c>
      <c r="AE15" s="31"/>
      <c r="AF15" s="40" t="s">
        <v>37</v>
      </c>
      <c r="AG15" s="24">
        <f>(AD16/(AD2+AD3))*100</f>
        <v>71.764705882352942</v>
      </c>
      <c r="AH15" s="24"/>
      <c r="AJ15" s="32" t="s">
        <v>76</v>
      </c>
      <c r="AK15" s="78">
        <f>AK14+AK3</f>
        <v>4750000</v>
      </c>
      <c r="AL15" s="31"/>
      <c r="AM15" s="40" t="s">
        <v>37</v>
      </c>
      <c r="AN15" s="24">
        <f>(AK16/(AK2+AK3))*100</f>
        <v>52.5</v>
      </c>
      <c r="AO15" s="24"/>
      <c r="AQ15" s="32" t="s">
        <v>76</v>
      </c>
      <c r="AR15" s="78">
        <f>AR14+AR3</f>
        <v>3012500</v>
      </c>
      <c r="AS15" s="31"/>
      <c r="AT15" s="40" t="s">
        <v>37</v>
      </c>
      <c r="AU15" s="24">
        <f>(AR16/(AR2+AR3))*100</f>
        <v>58.252427184466015</v>
      </c>
      <c r="AV15" s="24"/>
    </row>
    <row r="16" spans="1:48" ht="14.25" customHeight="1">
      <c r="A16" s="32" t="s">
        <v>77</v>
      </c>
      <c r="B16" s="279">
        <f>MIN(B13,B15)</f>
        <v>450000</v>
      </c>
      <c r="C16" s="31"/>
      <c r="D16" s="40" t="s">
        <v>60</v>
      </c>
      <c r="E16" s="24">
        <f>B16</f>
        <v>450000</v>
      </c>
      <c r="F16" s="24"/>
      <c r="H16" s="32" t="s">
        <v>77</v>
      </c>
      <c r="I16" s="32">
        <f>MIN(I13,I15)</f>
        <v>381250</v>
      </c>
      <c r="J16" s="31"/>
      <c r="K16" s="40" t="s">
        <v>60</v>
      </c>
      <c r="L16" s="24">
        <f>MIN(I13,I15)</f>
        <v>381250</v>
      </c>
      <c r="M16" s="24"/>
      <c r="O16" s="32" t="s">
        <v>77</v>
      </c>
      <c r="P16" s="32">
        <f>MIN(P13,P15)</f>
        <v>1437500</v>
      </c>
      <c r="Q16" s="31"/>
      <c r="R16" s="40" t="s">
        <v>60</v>
      </c>
      <c r="S16" s="24">
        <f>MIN(P13,P15)</f>
        <v>1437500</v>
      </c>
      <c r="T16" s="24"/>
      <c r="V16" s="32" t="s">
        <v>77</v>
      </c>
      <c r="W16" s="32">
        <f>MIN(W13,W15)</f>
        <v>877500</v>
      </c>
      <c r="X16" s="31"/>
      <c r="Y16" s="40" t="s">
        <v>60</v>
      </c>
      <c r="Z16" s="24">
        <f>MIN(W13,W15)</f>
        <v>877500</v>
      </c>
      <c r="AA16" s="24"/>
      <c r="AC16" s="32" t="s">
        <v>77</v>
      </c>
      <c r="AD16" s="32">
        <f>MIN(AD13,AD15)</f>
        <v>1220000</v>
      </c>
      <c r="AE16" s="31"/>
      <c r="AF16" s="40" t="s">
        <v>60</v>
      </c>
      <c r="AG16" s="24">
        <f>MIN(AD13,AD15)</f>
        <v>1220000</v>
      </c>
      <c r="AH16" s="24"/>
      <c r="AJ16" s="32" t="s">
        <v>77</v>
      </c>
      <c r="AK16" s="32">
        <f>MIN(AK13,AK15)</f>
        <v>3675000</v>
      </c>
      <c r="AL16" s="31"/>
      <c r="AM16" s="40" t="s">
        <v>60</v>
      </c>
      <c r="AN16" s="24">
        <f>MIN(AK13,AK15)</f>
        <v>3675000</v>
      </c>
      <c r="AO16" s="24"/>
      <c r="AQ16" s="32" t="s">
        <v>77</v>
      </c>
      <c r="AR16" s="32">
        <f>MIN(AR13,AR15)</f>
        <v>3000000</v>
      </c>
      <c r="AS16" s="31"/>
      <c r="AT16" s="40" t="s">
        <v>60</v>
      </c>
      <c r="AU16" s="24">
        <f>MIN(AR13,AR15)</f>
        <v>3000000</v>
      </c>
      <c r="AV16" s="24"/>
    </row>
    <row r="17" spans="1:48" ht="14.25" customHeight="1">
      <c r="A17" s="32" t="s">
        <v>78</v>
      </c>
      <c r="B17" s="151">
        <f>B16-B14</f>
        <v>200000</v>
      </c>
      <c r="D17" s="40" t="s">
        <v>53</v>
      </c>
      <c r="E17" s="40" t="s">
        <v>79</v>
      </c>
      <c r="F17" s="40" t="s">
        <v>80</v>
      </c>
      <c r="H17" s="32" t="s">
        <v>78</v>
      </c>
      <c r="I17" s="78">
        <f>I16-I14</f>
        <v>65000</v>
      </c>
      <c r="K17" s="40" t="s">
        <v>53</v>
      </c>
      <c r="L17" s="40" t="s">
        <v>79</v>
      </c>
      <c r="M17" s="40" t="s">
        <v>80</v>
      </c>
      <c r="O17" s="32" t="s">
        <v>78</v>
      </c>
      <c r="P17" s="78">
        <f>P16-P14</f>
        <v>237500</v>
      </c>
      <c r="R17" s="40" t="s">
        <v>53</v>
      </c>
      <c r="S17" s="40" t="s">
        <v>79</v>
      </c>
      <c r="T17" s="40" t="s">
        <v>80</v>
      </c>
      <c r="V17" s="32" t="s">
        <v>78</v>
      </c>
      <c r="W17" s="78">
        <f>W16-W14</f>
        <v>475500</v>
      </c>
      <c r="Y17" s="40" t="s">
        <v>53</v>
      </c>
      <c r="Z17" s="40" t="s">
        <v>79</v>
      </c>
      <c r="AA17" s="40" t="s">
        <v>80</v>
      </c>
      <c r="AC17" s="32" t="s">
        <v>78</v>
      </c>
      <c r="AD17" s="78">
        <f>AD16-AD14</f>
        <v>500000</v>
      </c>
      <c r="AF17" s="40" t="s">
        <v>53</v>
      </c>
      <c r="AG17" s="40" t="s">
        <v>79</v>
      </c>
      <c r="AH17" s="40" t="s">
        <v>80</v>
      </c>
      <c r="AJ17" s="32" t="s">
        <v>78</v>
      </c>
      <c r="AK17" s="78">
        <f>AK16-AK14</f>
        <v>925000</v>
      </c>
      <c r="AM17" s="40" t="s">
        <v>53</v>
      </c>
      <c r="AN17" s="40" t="s">
        <v>79</v>
      </c>
      <c r="AO17" s="40" t="s">
        <v>80</v>
      </c>
      <c r="AQ17" s="32" t="s">
        <v>78</v>
      </c>
      <c r="AR17" s="78">
        <f>AR16-AR14</f>
        <v>637500</v>
      </c>
      <c r="AT17" s="40" t="s">
        <v>53</v>
      </c>
      <c r="AU17" s="40" t="s">
        <v>79</v>
      </c>
      <c r="AV17" s="40" t="s">
        <v>80</v>
      </c>
    </row>
    <row r="18" spans="1:48" ht="14.25" customHeight="1">
      <c r="D18" s="40" t="s">
        <v>61</v>
      </c>
      <c r="E18" s="24">
        <v>10.975</v>
      </c>
      <c r="F18" s="24">
        <f>0.3+E18</f>
        <v>11.275</v>
      </c>
      <c r="K18" s="40" t="s">
        <v>61</v>
      </c>
      <c r="L18" s="24">
        <v>10.111000000000001</v>
      </c>
      <c r="M18" s="24">
        <f>0.3+L18</f>
        <v>10.411000000000001</v>
      </c>
      <c r="R18" s="40" t="s">
        <v>61</v>
      </c>
      <c r="S18" s="24">
        <v>10.111000000000001</v>
      </c>
      <c r="T18" s="24">
        <f>0.3+S18</f>
        <v>10.411000000000001</v>
      </c>
      <c r="V18" s="41" t="s">
        <v>81</v>
      </c>
      <c r="Y18" s="40" t="s">
        <v>61</v>
      </c>
      <c r="Z18" s="24">
        <v>10.111000000000001</v>
      </c>
      <c r="AA18" s="24">
        <f>0.3+Z18</f>
        <v>10.411000000000001</v>
      </c>
      <c r="AC18" s="41" t="s">
        <v>81</v>
      </c>
      <c r="AF18" s="40" t="s">
        <v>61</v>
      </c>
      <c r="AG18" s="24">
        <v>10.111000000000001</v>
      </c>
      <c r="AH18" s="24">
        <f>0.3+AG18</f>
        <v>10.411000000000001</v>
      </c>
      <c r="AM18" s="40" t="s">
        <v>61</v>
      </c>
      <c r="AN18" s="24">
        <v>10.111000000000001</v>
      </c>
      <c r="AO18" s="24">
        <f>0.3+AN18</f>
        <v>10.411000000000001</v>
      </c>
      <c r="AT18" s="40" t="s">
        <v>61</v>
      </c>
      <c r="AU18" s="24">
        <v>10.111000000000001</v>
      </c>
      <c r="AV18" s="24">
        <f>0.3+AU18</f>
        <v>10.411000000000001</v>
      </c>
    </row>
    <row r="19" spans="1:48" ht="14.25" customHeight="1">
      <c r="V19" s="31" t="s">
        <v>82</v>
      </c>
      <c r="W19">
        <f>W15-W16</f>
        <v>24500</v>
      </c>
      <c r="AC19" s="31" t="s">
        <v>82</v>
      </c>
      <c r="AD19">
        <f>AD15-AD16</f>
        <v>0</v>
      </c>
    </row>
    <row r="20" spans="1:48" ht="14.25" customHeight="1"/>
    <row r="21" spans="1:48" ht="14.25" customHeight="1"/>
    <row r="22" spans="1:48" ht="14.25" customHeight="1"/>
    <row r="23" spans="1:48" ht="14.25" customHeight="1"/>
    <row r="24" spans="1:48" ht="14.25" customHeight="1"/>
    <row r="25" spans="1:48" ht="14.25" customHeight="1"/>
    <row r="26" spans="1:48" ht="14.25" customHeight="1"/>
    <row r="27" spans="1:48" ht="14.25" customHeight="1">
      <c r="A27" s="26" t="s">
        <v>83</v>
      </c>
      <c r="H27" s="26" t="s">
        <v>84</v>
      </c>
      <c r="I27" s="153"/>
      <c r="O27" s="26" t="s">
        <v>85</v>
      </c>
      <c r="V27" s="26" t="s">
        <v>86</v>
      </c>
      <c r="AC27" t="s">
        <v>87</v>
      </c>
      <c r="AJ27" s="26" t="s">
        <v>88</v>
      </c>
    </row>
    <row r="28" spans="1:48" ht="14.25" customHeight="1">
      <c r="A28" s="31" t="s">
        <v>68</v>
      </c>
      <c r="B28" s="29">
        <v>230000</v>
      </c>
      <c r="H28" s="26" t="s">
        <v>68</v>
      </c>
      <c r="I28" s="154">
        <v>6000000</v>
      </c>
      <c r="O28" s="32" t="s">
        <v>68</v>
      </c>
      <c r="P28" s="78">
        <v>1200000</v>
      </c>
      <c r="V28" s="155" t="s">
        <v>68</v>
      </c>
      <c r="W28" s="156">
        <v>5100000</v>
      </c>
      <c r="AC28" s="289" t="s">
        <v>89</v>
      </c>
      <c r="AD28" s="289"/>
      <c r="AJ28" s="32" t="s">
        <v>68</v>
      </c>
      <c r="AK28" s="151">
        <v>7500000</v>
      </c>
    </row>
    <row r="29" spans="1:48" ht="14.25" customHeight="1">
      <c r="A29" s="31" t="s">
        <v>69</v>
      </c>
      <c r="B29" s="29">
        <v>500000</v>
      </c>
      <c r="H29" s="26" t="s">
        <v>69</v>
      </c>
      <c r="I29" s="154">
        <v>1500000</v>
      </c>
      <c r="O29" s="32" t="s">
        <v>69</v>
      </c>
      <c r="P29" s="78">
        <v>500000</v>
      </c>
      <c r="V29" s="155" t="s">
        <v>69</v>
      </c>
      <c r="W29" s="156">
        <v>2000000</v>
      </c>
      <c r="AC29" s="40" t="s">
        <v>68</v>
      </c>
      <c r="AD29" s="149">
        <v>4500000</v>
      </c>
      <c r="AJ29" s="32" t="s">
        <v>69</v>
      </c>
      <c r="AK29" s="151">
        <v>2000000</v>
      </c>
    </row>
    <row r="30" spans="1:48" ht="14.25" customHeight="1">
      <c r="A30" s="31" t="s">
        <v>70</v>
      </c>
      <c r="B30" s="29">
        <v>1200000</v>
      </c>
      <c r="H30" s="26" t="s">
        <v>70</v>
      </c>
      <c r="I30" s="154">
        <v>9000000</v>
      </c>
      <c r="O30" s="32" t="s">
        <v>70</v>
      </c>
      <c r="P30" s="78">
        <v>4600000</v>
      </c>
      <c r="V30" s="155" t="s">
        <v>70</v>
      </c>
      <c r="W30" s="156">
        <v>8400000</v>
      </c>
      <c r="AC30" s="40" t="s">
        <v>69</v>
      </c>
      <c r="AD30" s="149">
        <v>650000</v>
      </c>
      <c r="AJ30" s="32" t="s">
        <v>70</v>
      </c>
      <c r="AK30" s="151">
        <v>7000000</v>
      </c>
    </row>
    <row r="31" spans="1:48" ht="14.25" customHeight="1">
      <c r="A31" s="31" t="s">
        <v>28</v>
      </c>
      <c r="B31">
        <v>740</v>
      </c>
      <c r="H31" s="26" t="s">
        <v>28</v>
      </c>
      <c r="I31" s="153">
        <v>740</v>
      </c>
      <c r="O31" s="32" t="s">
        <v>28</v>
      </c>
      <c r="P31" s="78">
        <v>740</v>
      </c>
      <c r="V31" s="155" t="s">
        <v>28</v>
      </c>
      <c r="W31" s="156">
        <v>740</v>
      </c>
      <c r="AC31" s="40" t="s">
        <v>70</v>
      </c>
      <c r="AD31" s="149">
        <v>6000000</v>
      </c>
      <c r="AJ31" s="32" t="s">
        <v>28</v>
      </c>
      <c r="AK31" s="78">
        <v>740</v>
      </c>
    </row>
    <row r="32" spans="1:48" ht="14.25" customHeight="1">
      <c r="A32" s="31" t="s">
        <v>12</v>
      </c>
      <c r="B32" s="31" t="s">
        <v>71</v>
      </c>
      <c r="H32" s="26" t="s">
        <v>12</v>
      </c>
      <c r="I32" s="26" t="s">
        <v>71</v>
      </c>
      <c r="O32" s="32" t="s">
        <v>12</v>
      </c>
      <c r="P32" s="32" t="s">
        <v>71</v>
      </c>
      <c r="V32" s="155" t="s">
        <v>12</v>
      </c>
      <c r="W32" s="155" t="s">
        <v>71</v>
      </c>
      <c r="AC32" s="40" t="s">
        <v>28</v>
      </c>
      <c r="AD32" s="149">
        <v>700</v>
      </c>
      <c r="AJ32" s="32" t="s">
        <v>12</v>
      </c>
      <c r="AK32" s="32" t="s">
        <v>71</v>
      </c>
    </row>
    <row r="33" spans="1:41" ht="14.25" customHeight="1">
      <c r="A33" s="31" t="s">
        <v>17</v>
      </c>
      <c r="B33">
        <v>3</v>
      </c>
      <c r="H33" s="26" t="s">
        <v>17</v>
      </c>
      <c r="I33" s="153">
        <v>7</v>
      </c>
      <c r="O33" s="32" t="s">
        <v>17</v>
      </c>
      <c r="P33" s="78">
        <v>7</v>
      </c>
      <c r="V33" s="155" t="s">
        <v>17</v>
      </c>
      <c r="W33" s="156">
        <v>7</v>
      </c>
      <c r="AC33" s="40" t="s">
        <v>12</v>
      </c>
      <c r="AD33" s="150" t="s">
        <v>71</v>
      </c>
      <c r="AF33" s="163"/>
      <c r="AG33" s="164"/>
      <c r="AH33" s="164"/>
      <c r="AI33" s="164"/>
      <c r="AJ33" s="32" t="s">
        <v>17</v>
      </c>
      <c r="AK33" s="78">
        <v>7</v>
      </c>
    </row>
    <row r="34" spans="1:41" ht="14.25" customHeight="1">
      <c r="AC34" s="40" t="s">
        <v>17</v>
      </c>
      <c r="AD34" s="149">
        <v>5</v>
      </c>
    </row>
    <row r="35" spans="1:41" ht="14.25" customHeight="1">
      <c r="A35" s="40" t="s">
        <v>60</v>
      </c>
      <c r="B35" s="152">
        <f>(B28*50%)+B29</f>
        <v>615000</v>
      </c>
      <c r="H35" s="40" t="s">
        <v>60</v>
      </c>
      <c r="I35" s="149">
        <f>(I28*50%)+I29</f>
        <v>4500000</v>
      </c>
      <c r="O35" s="40" t="s">
        <v>60</v>
      </c>
      <c r="P35" s="24">
        <f>(P28*50%)+P29</f>
        <v>1100000</v>
      </c>
      <c r="V35" s="40" t="s">
        <v>60</v>
      </c>
      <c r="W35" s="24">
        <f>(W28*50%)+W29</f>
        <v>4550000</v>
      </c>
      <c r="AD35" s="161"/>
      <c r="AF35" s="162"/>
      <c r="AG35" s="162"/>
      <c r="AH35" s="162"/>
      <c r="AJ35" s="32" t="s">
        <v>60</v>
      </c>
      <c r="AK35" s="78">
        <f>(AK28*50%)+AK29</f>
        <v>5750000</v>
      </c>
      <c r="AL35" t="s">
        <v>90</v>
      </c>
    </row>
    <row r="36" spans="1:41" ht="14.25" customHeight="1">
      <c r="A36" s="40" t="s">
        <v>72</v>
      </c>
      <c r="B36" s="27">
        <v>0.52500000000000002</v>
      </c>
      <c r="C36" s="24">
        <f>B30*B36</f>
        <v>630000</v>
      </c>
      <c r="H36" s="40" t="s">
        <v>72</v>
      </c>
      <c r="I36" s="27">
        <v>0.52500000000000002</v>
      </c>
      <c r="J36" s="149">
        <f>I30*I36</f>
        <v>4725000</v>
      </c>
      <c r="K36" s="161">
        <f>I30*52</f>
        <v>468000000</v>
      </c>
      <c r="O36" s="40" t="s">
        <v>72</v>
      </c>
      <c r="P36" s="27">
        <v>0.57499999999999996</v>
      </c>
      <c r="Q36" s="24">
        <f>P30*P36</f>
        <v>2645000</v>
      </c>
      <c r="V36" s="40" t="s">
        <v>72</v>
      </c>
      <c r="W36" s="27">
        <v>0.52500000000000002</v>
      </c>
      <c r="X36" s="24">
        <f>W30*W36</f>
        <v>4410000</v>
      </c>
      <c r="AC36" s="40" t="s">
        <v>60</v>
      </c>
      <c r="AD36" s="149">
        <f>(AD29*50%)+AD30</f>
        <v>2900000</v>
      </c>
      <c r="AJ36" s="32" t="s">
        <v>72</v>
      </c>
      <c r="AK36" s="141">
        <v>0.52500000000000002</v>
      </c>
      <c r="AL36" s="151">
        <f>AK30*AK36</f>
        <v>3675000</v>
      </c>
    </row>
    <row r="37" spans="1:41" ht="14.25" customHeight="1">
      <c r="A37" s="40" t="s">
        <v>37</v>
      </c>
      <c r="B37" s="28">
        <v>0.7</v>
      </c>
      <c r="C37" s="152">
        <f>(B28+B29)*B37</f>
        <v>510999.99999999994</v>
      </c>
      <c r="H37" s="40" t="s">
        <v>37</v>
      </c>
      <c r="I37" s="28">
        <v>0.7</v>
      </c>
      <c r="J37" s="149">
        <f>(I28+I29)*I37</f>
        <v>5250000</v>
      </c>
      <c r="O37" s="40" t="s">
        <v>37</v>
      </c>
      <c r="P37" s="28">
        <v>0.75</v>
      </c>
      <c r="Q37" s="24">
        <f>(P28+P29)*P37</f>
        <v>1275000</v>
      </c>
      <c r="V37" s="40" t="s">
        <v>37</v>
      </c>
      <c r="W37" s="28">
        <v>0.7</v>
      </c>
      <c r="X37" s="24">
        <f>(W28+W29)*W37</f>
        <v>4970000</v>
      </c>
      <c r="AC37" s="40" t="s">
        <v>72</v>
      </c>
      <c r="AD37" s="157">
        <v>0.5</v>
      </c>
      <c r="AE37" s="149">
        <f>AD31*AD37</f>
        <v>3000000</v>
      </c>
      <c r="AF37" s="159">
        <v>0.47499999999999998</v>
      </c>
      <c r="AG37" s="161">
        <f>AF37*AD31</f>
        <v>2850000</v>
      </c>
      <c r="AJ37" s="32" t="s">
        <v>37</v>
      </c>
      <c r="AK37" s="139">
        <v>0.7</v>
      </c>
      <c r="AL37" s="151">
        <f>(AK28+AK29)*AK37</f>
        <v>6650000</v>
      </c>
    </row>
    <row r="38" spans="1:41" ht="14.25" customHeight="1">
      <c r="A38" s="40" t="s">
        <v>59</v>
      </c>
      <c r="B38" s="28">
        <v>0.55000000000000004</v>
      </c>
      <c r="H38" s="40" t="s">
        <v>59</v>
      </c>
      <c r="I38" s="28">
        <v>0.55000000000000004</v>
      </c>
      <c r="O38" s="40" t="s">
        <v>59</v>
      </c>
      <c r="P38" s="28">
        <v>0.6</v>
      </c>
      <c r="V38" s="40" t="s">
        <v>59</v>
      </c>
      <c r="W38" s="28">
        <v>0.55000000000000004</v>
      </c>
      <c r="AC38" s="40" t="s">
        <v>37</v>
      </c>
      <c r="AD38" s="157">
        <v>0.67500000000000004</v>
      </c>
      <c r="AE38" s="149">
        <f>(AD29+AD30)*AD38</f>
        <v>3476250</v>
      </c>
      <c r="AF38" s="160">
        <v>0.65</v>
      </c>
      <c r="AG38" s="161">
        <f>(AD29+AD30)*AF38</f>
        <v>3347500</v>
      </c>
      <c r="AJ38" s="32" t="s">
        <v>59</v>
      </c>
      <c r="AK38" s="137">
        <v>0.55000000000000004</v>
      </c>
    </row>
    <row r="39" spans="1:41" ht="14.25" customHeight="1">
      <c r="A39" s="40" t="s">
        <v>73</v>
      </c>
      <c r="B39" s="24">
        <f>MIN(C36:C37)</f>
        <v>510999.99999999994</v>
      </c>
      <c r="D39" s="31" t="s">
        <v>74</v>
      </c>
      <c r="H39" s="40" t="s">
        <v>73</v>
      </c>
      <c r="I39" s="24">
        <f>MIN(J36:J37)</f>
        <v>4725000</v>
      </c>
      <c r="K39" s="31" t="s">
        <v>74</v>
      </c>
      <c r="O39" s="40" t="s">
        <v>73</v>
      </c>
      <c r="P39" s="24">
        <f>MIN(Q36:Q37)</f>
        <v>1275000</v>
      </c>
      <c r="R39" s="31" t="s">
        <v>74</v>
      </c>
      <c r="V39" s="40" t="s">
        <v>73</v>
      </c>
      <c r="W39" s="24">
        <f>MIN(X36:X37)</f>
        <v>4410000</v>
      </c>
      <c r="Y39" s="31" t="s">
        <v>74</v>
      </c>
      <c r="AC39" s="40" t="s">
        <v>59</v>
      </c>
      <c r="AD39" s="157">
        <v>0.52500000000000002</v>
      </c>
      <c r="AF39" s="158">
        <v>0.5</v>
      </c>
      <c r="AG39" s="161"/>
      <c r="AJ39" s="32" t="s">
        <v>73</v>
      </c>
      <c r="AK39" s="78">
        <f>MIN(AL36:AL37)</f>
        <v>3675000</v>
      </c>
      <c r="AM39" s="142" t="s">
        <v>74</v>
      </c>
    </row>
    <row r="40" spans="1:41" ht="14.25" customHeight="1">
      <c r="A40" s="40" t="s">
        <v>75</v>
      </c>
      <c r="B40" s="152">
        <f>B28*B38</f>
        <v>126500.00000000001</v>
      </c>
      <c r="D40" s="40" t="s">
        <v>59</v>
      </c>
      <c r="E40" s="24">
        <f>(B40/B28)*100</f>
        <v>55.000000000000007</v>
      </c>
      <c r="F40" s="24"/>
      <c r="H40" s="40" t="s">
        <v>75</v>
      </c>
      <c r="I40" s="149">
        <f>I28*I38</f>
        <v>3300000.0000000005</v>
      </c>
      <c r="K40" s="40" t="s">
        <v>59</v>
      </c>
      <c r="L40" s="24">
        <f>(I40/I28)*100</f>
        <v>55.000000000000007</v>
      </c>
      <c r="M40" s="24"/>
      <c r="O40" s="40" t="s">
        <v>75</v>
      </c>
      <c r="P40" s="24">
        <f>P28*P38</f>
        <v>720000</v>
      </c>
      <c r="R40" s="40" t="s">
        <v>59</v>
      </c>
      <c r="S40" s="24">
        <f>(P40/P28)*100</f>
        <v>60</v>
      </c>
      <c r="T40" s="24"/>
      <c r="V40" s="40" t="s">
        <v>75</v>
      </c>
      <c r="W40" s="24">
        <f>W28*W38</f>
        <v>2805000</v>
      </c>
      <c r="Y40" s="40" t="s">
        <v>59</v>
      </c>
      <c r="Z40" s="24">
        <f>(W40/W28)*100</f>
        <v>55.000000000000007</v>
      </c>
      <c r="AA40" s="24"/>
      <c r="AC40" s="40" t="s">
        <v>73</v>
      </c>
      <c r="AD40" s="149">
        <f>MIN(AE37:AE38)</f>
        <v>3000000</v>
      </c>
      <c r="AF40" s="40" t="s">
        <v>73</v>
      </c>
      <c r="AG40" s="149">
        <f>MIN(AG37:AG38)</f>
        <v>2850000</v>
      </c>
      <c r="AJ40" s="32" t="s">
        <v>75</v>
      </c>
      <c r="AK40" s="78">
        <f>AK28*AK38</f>
        <v>4125000.0000000005</v>
      </c>
      <c r="AM40" s="143" t="s">
        <v>59</v>
      </c>
      <c r="AN40" s="24">
        <f>(AK40/AK28)*100</f>
        <v>55.000000000000007</v>
      </c>
      <c r="AO40" s="24"/>
    </row>
    <row r="41" spans="1:41" ht="14.25" customHeight="1">
      <c r="A41" s="40" t="s">
        <v>76</v>
      </c>
      <c r="B41" s="152">
        <f>B40+B29</f>
        <v>626500</v>
      </c>
      <c r="C41" s="31"/>
      <c r="D41" s="40" t="s">
        <v>37</v>
      </c>
      <c r="E41" s="24">
        <f>(B42/(B28+B29))*100</f>
        <v>70</v>
      </c>
      <c r="F41" s="24"/>
      <c r="H41" s="40" t="s">
        <v>76</v>
      </c>
      <c r="I41" s="149">
        <f>I40+I29</f>
        <v>4800000</v>
      </c>
      <c r="J41" s="31"/>
      <c r="K41" s="40" t="s">
        <v>37</v>
      </c>
      <c r="L41" s="24">
        <f>(I42/(I28+I29))*100</f>
        <v>63</v>
      </c>
      <c r="M41" s="24"/>
      <c r="O41" s="40" t="s">
        <v>76</v>
      </c>
      <c r="P41" s="24">
        <f>P40+P29</f>
        <v>1220000</v>
      </c>
      <c r="Q41" s="31"/>
      <c r="R41" s="40" t="s">
        <v>37</v>
      </c>
      <c r="S41" s="24">
        <f>(P42/(P28+P29))*100</f>
        <v>71.764705882352942</v>
      </c>
      <c r="T41" s="24"/>
      <c r="V41" s="40" t="s">
        <v>76</v>
      </c>
      <c r="W41" s="24">
        <f>W40+W29</f>
        <v>4805000</v>
      </c>
      <c r="X41" s="31"/>
      <c r="Y41" s="40" t="s">
        <v>37</v>
      </c>
      <c r="Z41" s="24">
        <f>(W42/(W28+W29))*100</f>
        <v>62.112676056338024</v>
      </c>
      <c r="AA41" s="24"/>
      <c r="AC41" s="40" t="s">
        <v>75</v>
      </c>
      <c r="AD41" s="149">
        <f>AD29*AD39</f>
        <v>2362500</v>
      </c>
      <c r="AF41" s="40" t="s">
        <v>75</v>
      </c>
      <c r="AG41" s="149">
        <f>AD29*AF39</f>
        <v>2250000</v>
      </c>
      <c r="AJ41" s="32" t="s">
        <v>76</v>
      </c>
      <c r="AK41" s="78">
        <f>AK40+AK29</f>
        <v>6125000</v>
      </c>
      <c r="AL41" s="31"/>
      <c r="AM41" s="40" t="s">
        <v>37</v>
      </c>
      <c r="AN41" s="24">
        <f>(AK42/(AK28+AK29))*100</f>
        <v>38.684210526315788</v>
      </c>
      <c r="AO41" s="24"/>
    </row>
    <row r="42" spans="1:41" ht="14.25" customHeight="1">
      <c r="A42" s="40" t="s">
        <v>77</v>
      </c>
      <c r="B42" s="40">
        <f>MIN(B39,B41)</f>
        <v>510999.99999999994</v>
      </c>
      <c r="C42" s="31"/>
      <c r="D42" s="40" t="s">
        <v>60</v>
      </c>
      <c r="E42" s="24">
        <f>MIN(B39,B41)</f>
        <v>510999.99999999994</v>
      </c>
      <c r="F42" s="24"/>
      <c r="H42" s="40" t="s">
        <v>77</v>
      </c>
      <c r="I42" s="150">
        <f>MIN(I39,I41)</f>
        <v>4725000</v>
      </c>
      <c r="J42" s="31"/>
      <c r="K42" s="40" t="s">
        <v>60</v>
      </c>
      <c r="L42" s="24">
        <f>MIN(I39,I41)</f>
        <v>4725000</v>
      </c>
      <c r="M42" s="24"/>
      <c r="O42" s="40" t="s">
        <v>77</v>
      </c>
      <c r="P42" s="40">
        <f>MIN(P39,P41)</f>
        <v>1220000</v>
      </c>
      <c r="Q42" s="31"/>
      <c r="R42" s="40" t="s">
        <v>60</v>
      </c>
      <c r="S42" s="24">
        <f>MIN(P39,P41)</f>
        <v>1220000</v>
      </c>
      <c r="T42" s="24"/>
      <c r="V42" s="40" t="s">
        <v>77</v>
      </c>
      <c r="W42" s="40">
        <f>MIN(W39,W41)</f>
        <v>4410000</v>
      </c>
      <c r="X42" s="31"/>
      <c r="Y42" s="40" t="s">
        <v>60</v>
      </c>
      <c r="Z42" s="24">
        <f>MIN(W39,W41)</f>
        <v>4410000</v>
      </c>
      <c r="AA42" s="24"/>
      <c r="AC42" s="40" t="s">
        <v>76</v>
      </c>
      <c r="AD42" s="149">
        <f>AD41+AD30</f>
        <v>3012500</v>
      </c>
      <c r="AE42" s="31"/>
      <c r="AF42" s="40" t="s">
        <v>76</v>
      </c>
      <c r="AG42" s="149">
        <f>AG41+AD30</f>
        <v>2900000</v>
      </c>
      <c r="AJ42" s="32" t="s">
        <v>77</v>
      </c>
      <c r="AK42" s="32">
        <f>MIN(AK39,AK41)</f>
        <v>3675000</v>
      </c>
      <c r="AL42" s="31"/>
      <c r="AM42" s="40" t="s">
        <v>60</v>
      </c>
      <c r="AN42" s="24">
        <f>MIN(AK39,AK41)</f>
        <v>3675000</v>
      </c>
      <c r="AO42" s="24"/>
    </row>
    <row r="43" spans="1:41" ht="14.25" customHeight="1">
      <c r="A43" s="40" t="s">
        <v>78</v>
      </c>
      <c r="B43" s="24">
        <f>B42-B40</f>
        <v>384499.99999999994</v>
      </c>
      <c r="D43" s="40" t="s">
        <v>53</v>
      </c>
      <c r="E43" s="40" t="s">
        <v>79</v>
      </c>
      <c r="F43" s="40" t="s">
        <v>80</v>
      </c>
      <c r="H43" s="40" t="s">
        <v>78</v>
      </c>
      <c r="I43" s="149">
        <f>I42-I40</f>
        <v>1424999.9999999995</v>
      </c>
      <c r="K43" s="40" t="s">
        <v>53</v>
      </c>
      <c r="L43" s="40" t="s">
        <v>79</v>
      </c>
      <c r="M43" s="40" t="s">
        <v>80</v>
      </c>
      <c r="O43" s="40" t="s">
        <v>78</v>
      </c>
      <c r="P43" s="24">
        <f>P42-P40</f>
        <v>500000</v>
      </c>
      <c r="R43" s="40" t="s">
        <v>53</v>
      </c>
      <c r="S43" s="40" t="s">
        <v>79</v>
      </c>
      <c r="T43" s="40" t="s">
        <v>80</v>
      </c>
      <c r="V43" s="40" t="s">
        <v>78</v>
      </c>
      <c r="W43" s="24">
        <f>W42-W40</f>
        <v>1605000</v>
      </c>
      <c r="Y43" s="40" t="s">
        <v>53</v>
      </c>
      <c r="Z43" s="40" t="s">
        <v>79</v>
      </c>
      <c r="AA43" s="40" t="s">
        <v>80</v>
      </c>
      <c r="AC43" s="40" t="s">
        <v>77</v>
      </c>
      <c r="AD43" s="150">
        <f>MIN(AD40,AD42)</f>
        <v>3000000</v>
      </c>
      <c r="AE43" s="31"/>
      <c r="AF43" s="40" t="s">
        <v>77</v>
      </c>
      <c r="AG43" s="150">
        <f>MIN(AG40,AG42)</f>
        <v>2850000</v>
      </c>
      <c r="AJ43" s="32" t="s">
        <v>78</v>
      </c>
      <c r="AK43" s="78">
        <f>AK42-AK40</f>
        <v>-450000.00000000047</v>
      </c>
      <c r="AM43" s="40" t="s">
        <v>53</v>
      </c>
      <c r="AN43" s="40" t="s">
        <v>79</v>
      </c>
      <c r="AO43" s="40" t="s">
        <v>80</v>
      </c>
    </row>
    <row r="44" spans="1:41" ht="14.25" customHeight="1">
      <c r="A44" s="42" t="s">
        <v>81</v>
      </c>
      <c r="B44" s="24"/>
      <c r="D44" s="40" t="s">
        <v>61</v>
      </c>
      <c r="E44" s="24">
        <v>11.111000000000001</v>
      </c>
      <c r="F44" s="24">
        <f>0.3+E44</f>
        <v>11.411000000000001</v>
      </c>
      <c r="H44" s="42" t="s">
        <v>81</v>
      </c>
      <c r="I44" s="24"/>
      <c r="K44" s="40" t="s">
        <v>61</v>
      </c>
      <c r="L44" s="24">
        <v>10.611000000000001</v>
      </c>
      <c r="M44" s="24">
        <f>0.3+L44</f>
        <v>10.911000000000001</v>
      </c>
      <c r="O44" s="42" t="s">
        <v>81</v>
      </c>
      <c r="P44" s="24"/>
      <c r="R44" s="40" t="s">
        <v>61</v>
      </c>
      <c r="S44" s="24">
        <v>10.111000000000001</v>
      </c>
      <c r="T44" s="24">
        <f>0.3+S44</f>
        <v>10.411000000000001</v>
      </c>
      <c r="V44" s="42" t="s">
        <v>81</v>
      </c>
      <c r="W44" s="24"/>
      <c r="Y44" s="40" t="s">
        <v>61</v>
      </c>
      <c r="Z44" s="24">
        <v>10.611000000000001</v>
      </c>
      <c r="AA44" s="24">
        <f>0.3+Z44</f>
        <v>10.911000000000001</v>
      </c>
      <c r="AC44" s="40" t="s">
        <v>78</v>
      </c>
      <c r="AD44" s="149">
        <f>AD43-AD41</f>
        <v>637500</v>
      </c>
      <c r="AF44" s="40" t="s">
        <v>78</v>
      </c>
      <c r="AG44" s="149">
        <f>AG43-AG41</f>
        <v>600000</v>
      </c>
      <c r="AM44" s="40" t="s">
        <v>61</v>
      </c>
      <c r="AN44" s="24">
        <v>10.111000000000001</v>
      </c>
      <c r="AO44" s="24">
        <f>0.3+AN44</f>
        <v>10.411000000000001</v>
      </c>
    </row>
    <row r="45" spans="1:41" ht="14.25" customHeight="1">
      <c r="A45" s="40" t="s">
        <v>82</v>
      </c>
      <c r="B45" s="24">
        <f>B41-B42</f>
        <v>115500.00000000006</v>
      </c>
      <c r="H45" s="40" t="s">
        <v>82</v>
      </c>
      <c r="I45" s="24">
        <f>I41-I42</f>
        <v>75000</v>
      </c>
      <c r="O45" s="40" t="s">
        <v>82</v>
      </c>
      <c r="P45" s="24">
        <f>P41-P42</f>
        <v>0</v>
      </c>
      <c r="V45" s="40" t="s">
        <v>82</v>
      </c>
      <c r="W45" s="24">
        <f>W41-W42</f>
        <v>395000</v>
      </c>
      <c r="AC45" s="42" t="s">
        <v>81</v>
      </c>
      <c r="AD45" s="149"/>
      <c r="AF45" s="42" t="s">
        <v>81</v>
      </c>
      <c r="AG45" s="149"/>
    </row>
    <row r="46" spans="1:41" ht="14.25" customHeight="1">
      <c r="AC46" s="40" t="s">
        <v>82</v>
      </c>
      <c r="AD46" s="149">
        <f>AD42-AD43</f>
        <v>12500</v>
      </c>
      <c r="AF46" s="40" t="s">
        <v>82</v>
      </c>
      <c r="AG46" s="149">
        <f>AG42-AG43</f>
        <v>50000</v>
      </c>
    </row>
    <row r="47" spans="1:41" ht="14.25" customHeight="1"/>
    <row r="48" spans="1:4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mergeCells count="1">
    <mergeCell ref="AC28:AD2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A9CE-27BD-4077-B959-2C3678D6F0C7}">
  <dimension ref="A1:N18"/>
  <sheetViews>
    <sheetView workbookViewId="0">
      <selection activeCell="B9" sqref="B9"/>
    </sheetView>
  </sheetViews>
  <sheetFormatPr defaultRowHeight="15"/>
  <cols>
    <col min="1" max="1" width="20.28515625" customWidth="1"/>
    <col min="2" max="2" width="22.5703125" customWidth="1"/>
    <col min="9" max="9" width="18" customWidth="1"/>
    <col min="10" max="10" width="26" customWidth="1"/>
  </cols>
  <sheetData>
    <row r="1" spans="1:14">
      <c r="A1" s="26" t="s">
        <v>0</v>
      </c>
      <c r="I1" s="26" t="s">
        <v>1</v>
      </c>
    </row>
    <row r="2" spans="1:14">
      <c r="A2" s="32" t="s">
        <v>68</v>
      </c>
      <c r="B2" s="78">
        <v>670000</v>
      </c>
      <c r="I2" s="31" t="s">
        <v>68</v>
      </c>
      <c r="J2">
        <v>670000</v>
      </c>
    </row>
    <row r="3" spans="1:14">
      <c r="A3" s="32" t="s">
        <v>69</v>
      </c>
      <c r="B3" s="78">
        <v>750000</v>
      </c>
      <c r="I3" s="32" t="s">
        <v>69</v>
      </c>
      <c r="J3" s="78">
        <v>1900000</v>
      </c>
    </row>
    <row r="4" spans="1:14">
      <c r="A4" s="32" t="s">
        <v>70</v>
      </c>
      <c r="B4" s="78">
        <v>1600000</v>
      </c>
      <c r="I4" s="32" t="s">
        <v>70</v>
      </c>
      <c r="J4" s="78">
        <v>1600000</v>
      </c>
    </row>
    <row r="5" spans="1:14">
      <c r="A5" s="32" t="s">
        <v>28</v>
      </c>
      <c r="B5" s="78">
        <v>740</v>
      </c>
      <c r="I5" s="32" t="s">
        <v>28</v>
      </c>
      <c r="J5" s="78">
        <v>740</v>
      </c>
    </row>
    <row r="6" spans="1:14">
      <c r="A6" s="32" t="s">
        <v>12</v>
      </c>
      <c r="B6" s="32" t="s">
        <v>71</v>
      </c>
      <c r="I6" s="32" t="s">
        <v>12</v>
      </c>
      <c r="J6" s="32" t="s">
        <v>71</v>
      </c>
    </row>
    <row r="7" spans="1:14">
      <c r="A7" s="32" t="s">
        <v>17</v>
      </c>
      <c r="B7" s="78">
        <v>2</v>
      </c>
      <c r="I7" s="32" t="s">
        <v>17</v>
      </c>
      <c r="J7" s="78">
        <v>7</v>
      </c>
    </row>
    <row r="9" spans="1:14">
      <c r="A9" s="32" t="s">
        <v>60</v>
      </c>
      <c r="B9" s="78">
        <f>(B2*50%)+B3</f>
        <v>1085000</v>
      </c>
      <c r="I9" s="32" t="s">
        <v>60</v>
      </c>
      <c r="J9" s="78">
        <f>(J2*50%)+J3</f>
        <v>2235000</v>
      </c>
    </row>
    <row r="10" spans="1:14">
      <c r="A10" s="32" t="s">
        <v>72</v>
      </c>
      <c r="B10" s="138">
        <v>57.5</v>
      </c>
      <c r="C10" s="78">
        <f>(B4*B10)/100</f>
        <v>920000</v>
      </c>
      <c r="I10" s="32" t="s">
        <v>72</v>
      </c>
      <c r="J10" s="141">
        <v>0.57499999999999996</v>
      </c>
      <c r="K10" s="78">
        <f>J4*J10</f>
        <v>919999.99999999988</v>
      </c>
    </row>
    <row r="11" spans="1:14">
      <c r="A11" s="32" t="s">
        <v>37</v>
      </c>
      <c r="B11" s="139">
        <v>0.64790000000000003</v>
      </c>
      <c r="C11" s="78">
        <f>(B2+B3)*B11</f>
        <v>920018</v>
      </c>
      <c r="I11" s="32" t="s">
        <v>37</v>
      </c>
      <c r="J11" s="139">
        <v>0.75</v>
      </c>
      <c r="K11" s="78">
        <f>(J2+J3)*J11</f>
        <v>1927500</v>
      </c>
    </row>
    <row r="12" spans="1:14">
      <c r="A12" s="32" t="s">
        <v>59</v>
      </c>
      <c r="B12" s="137">
        <v>0.6</v>
      </c>
      <c r="I12" s="32" t="s">
        <v>59</v>
      </c>
      <c r="J12" s="137">
        <v>0.6</v>
      </c>
    </row>
    <row r="13" spans="1:14">
      <c r="A13" s="32" t="s">
        <v>73</v>
      </c>
      <c r="B13" s="78">
        <f>MIN(C10:C11)</f>
        <v>920000</v>
      </c>
      <c r="D13" s="142" t="s">
        <v>74</v>
      </c>
      <c r="I13" s="32" t="s">
        <v>73</v>
      </c>
      <c r="J13" s="78">
        <f>MIN(K10:K11)</f>
        <v>919999.99999999988</v>
      </c>
      <c r="L13" s="142" t="s">
        <v>74</v>
      </c>
    </row>
    <row r="14" spans="1:14">
      <c r="A14" s="32" t="s">
        <v>75</v>
      </c>
      <c r="B14" s="78">
        <f>B2*B12</f>
        <v>402000</v>
      </c>
      <c r="D14" s="143" t="s">
        <v>59</v>
      </c>
      <c r="E14" s="24">
        <f>(B14/B2)*100</f>
        <v>60</v>
      </c>
      <c r="F14" s="24"/>
      <c r="I14" s="32" t="s">
        <v>75</v>
      </c>
      <c r="J14" s="78">
        <f>J2*J12</f>
        <v>402000</v>
      </c>
      <c r="L14" s="143" t="s">
        <v>59</v>
      </c>
      <c r="M14" s="24">
        <f>(J14/J2)*100</f>
        <v>60</v>
      </c>
      <c r="N14" s="24"/>
    </row>
    <row r="15" spans="1:14">
      <c r="A15" s="32" t="s">
        <v>76</v>
      </c>
      <c r="B15" s="78">
        <f>B14+B3</f>
        <v>1152000</v>
      </c>
      <c r="C15" s="31"/>
      <c r="D15" s="40" t="s">
        <v>37</v>
      </c>
      <c r="E15" s="24">
        <f>(B16/(B2+B3))*100</f>
        <v>64.788732394366207</v>
      </c>
      <c r="F15" s="24"/>
      <c r="I15" s="32" t="s">
        <v>76</v>
      </c>
      <c r="J15" s="78">
        <f>J14+J3</f>
        <v>2302000</v>
      </c>
      <c r="K15" s="31"/>
      <c r="L15" s="40" t="s">
        <v>37</v>
      </c>
      <c r="M15" s="24">
        <f>(J16/(J2+J3))*100</f>
        <v>35.797665369649799</v>
      </c>
      <c r="N15" s="24"/>
    </row>
    <row r="16" spans="1:14">
      <c r="A16" s="32" t="s">
        <v>77</v>
      </c>
      <c r="B16" s="32">
        <f>MIN(B13,B15)</f>
        <v>920000</v>
      </c>
      <c r="C16" s="31"/>
      <c r="D16" s="40" t="s">
        <v>60</v>
      </c>
      <c r="E16" s="24">
        <f>B16</f>
        <v>920000</v>
      </c>
      <c r="F16" s="24"/>
      <c r="I16" s="32" t="s">
        <v>77</v>
      </c>
      <c r="J16" s="32">
        <f>MIN(J13,J15)</f>
        <v>919999.99999999988</v>
      </c>
      <c r="K16" s="31"/>
      <c r="L16" s="40" t="s">
        <v>60</v>
      </c>
      <c r="M16" s="24">
        <f>MIN(J13,J15)</f>
        <v>919999.99999999988</v>
      </c>
      <c r="N16" s="24"/>
    </row>
    <row r="17" spans="1:14">
      <c r="A17" s="32" t="s">
        <v>78</v>
      </c>
      <c r="B17" s="78">
        <f>B16-B14</f>
        <v>518000</v>
      </c>
      <c r="D17" s="40" t="s">
        <v>53</v>
      </c>
      <c r="E17" s="40" t="s">
        <v>79</v>
      </c>
      <c r="F17" s="40" t="s">
        <v>80</v>
      </c>
      <c r="I17" s="32" t="s">
        <v>78</v>
      </c>
      <c r="J17" s="78">
        <f>J16-J14</f>
        <v>517999.99999999988</v>
      </c>
      <c r="L17" s="40" t="s">
        <v>53</v>
      </c>
      <c r="M17" s="40" t="s">
        <v>79</v>
      </c>
      <c r="N17" s="40" t="s">
        <v>80</v>
      </c>
    </row>
    <row r="18" spans="1:14">
      <c r="D18" s="40" t="s">
        <v>61</v>
      </c>
      <c r="E18" s="24">
        <v>10.111000000000001</v>
      </c>
      <c r="F18" s="24">
        <f>0.3+E18</f>
        <v>10.411000000000001</v>
      </c>
      <c r="L18" s="40" t="s">
        <v>61</v>
      </c>
      <c r="M18" s="24">
        <v>10.111000000000001</v>
      </c>
      <c r="N18" s="24">
        <f>0.3+M18</f>
        <v>10.411000000000001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BE6F-3999-418B-B759-38E2D0E7AC3B}">
  <dimension ref="A1:AA40"/>
  <sheetViews>
    <sheetView tabSelected="1" workbookViewId="0">
      <selection activeCell="D7" sqref="D7"/>
    </sheetView>
  </sheetViews>
  <sheetFormatPr defaultRowHeight="14.45"/>
  <cols>
    <col min="1" max="1" width="21.5703125" bestFit="1" customWidth="1"/>
    <col min="2" max="2" width="15.85546875" bestFit="1" customWidth="1"/>
    <col min="3" max="3" width="14.7109375" bestFit="1" customWidth="1"/>
    <col min="4" max="4" width="12.85546875" bestFit="1" customWidth="1"/>
    <col min="6" max="6" width="13.140625" customWidth="1"/>
    <col min="8" max="8" width="17.7109375" customWidth="1"/>
    <col min="9" max="9" width="16.7109375" customWidth="1"/>
    <col min="10" max="10" width="17.7109375" customWidth="1"/>
    <col min="11" max="11" width="18.28515625" customWidth="1"/>
    <col min="12" max="12" width="14.7109375" customWidth="1"/>
    <col min="15" max="15" width="21" customWidth="1"/>
    <col min="16" max="16" width="16.5703125" customWidth="1"/>
    <col min="17" max="17" width="19.140625" customWidth="1"/>
    <col min="18" max="18" width="18.5703125" customWidth="1"/>
    <col min="19" max="19" width="19.7109375" customWidth="1"/>
    <col min="22" max="22" width="20.42578125" customWidth="1"/>
    <col min="23" max="23" width="17" customWidth="1"/>
    <col min="24" max="24" width="15.42578125" customWidth="1"/>
    <col min="25" max="25" width="16.140625" customWidth="1"/>
    <col min="26" max="26" width="12.140625" customWidth="1"/>
  </cols>
  <sheetData>
    <row r="1" spans="1:27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</row>
    <row r="2" spans="1:27" ht="15">
      <c r="A2" s="251" t="s">
        <v>68</v>
      </c>
      <c r="B2" s="252">
        <v>2700000</v>
      </c>
      <c r="C2" s="250"/>
      <c r="D2" s="250"/>
      <c r="E2" s="250"/>
      <c r="F2" s="250"/>
      <c r="G2" s="250"/>
      <c r="H2" s="249" t="s">
        <v>0</v>
      </c>
      <c r="I2" s="250"/>
      <c r="J2" s="250"/>
      <c r="K2" s="250"/>
      <c r="L2" s="250"/>
      <c r="M2" s="250"/>
      <c r="O2" s="26" t="s">
        <v>2</v>
      </c>
      <c r="V2" s="26" t="s">
        <v>2</v>
      </c>
    </row>
    <row r="3" spans="1:27" ht="15">
      <c r="A3" s="251" t="s">
        <v>69</v>
      </c>
      <c r="B3" s="252">
        <v>310000</v>
      </c>
      <c r="C3" s="250"/>
      <c r="D3" s="253">
        <f>B2+B3</f>
        <v>3010000</v>
      </c>
      <c r="E3" s="250"/>
      <c r="F3" s="250"/>
      <c r="G3" s="250"/>
      <c r="H3" s="251" t="s">
        <v>68</v>
      </c>
      <c r="I3" s="252">
        <v>2700000</v>
      </c>
      <c r="J3" s="250"/>
      <c r="K3" s="250"/>
      <c r="L3" s="250"/>
      <c r="M3" s="250"/>
      <c r="O3" s="31" t="s">
        <v>68</v>
      </c>
      <c r="P3" s="43">
        <v>6000000</v>
      </c>
      <c r="V3" s="32" t="s">
        <v>68</v>
      </c>
      <c r="W3" s="134">
        <v>5000000</v>
      </c>
    </row>
    <row r="4" spans="1:27" ht="15">
      <c r="A4" s="251" t="s">
        <v>70</v>
      </c>
      <c r="B4" s="252">
        <v>7000000</v>
      </c>
      <c r="C4" s="250"/>
      <c r="D4" s="250"/>
      <c r="E4" s="250"/>
      <c r="F4" s="250"/>
      <c r="G4" s="250"/>
      <c r="H4" s="251" t="s">
        <v>69</v>
      </c>
      <c r="I4" s="252">
        <v>290000</v>
      </c>
      <c r="J4" s="250"/>
      <c r="K4" s="253"/>
      <c r="L4" s="250"/>
      <c r="M4" s="250"/>
      <c r="O4" s="31" t="s">
        <v>69</v>
      </c>
      <c r="P4" s="43">
        <v>5000000</v>
      </c>
      <c r="R4" s="43">
        <f>P3+P4</f>
        <v>11000000</v>
      </c>
      <c r="V4" s="32" t="s">
        <v>69</v>
      </c>
      <c r="W4" s="134">
        <v>499999</v>
      </c>
      <c r="Y4" s="43">
        <f>W3+W4</f>
        <v>5499999</v>
      </c>
    </row>
    <row r="5" spans="1:27" ht="15">
      <c r="A5" s="251" t="s">
        <v>28</v>
      </c>
      <c r="B5" s="254">
        <v>740</v>
      </c>
      <c r="C5" s="250"/>
      <c r="D5" s="250"/>
      <c r="E5" s="250"/>
      <c r="F5" s="250"/>
      <c r="G5" s="250"/>
      <c r="H5" s="251" t="s">
        <v>70</v>
      </c>
      <c r="I5" s="269">
        <v>7000000</v>
      </c>
      <c r="J5" s="250"/>
      <c r="K5" s="250"/>
      <c r="L5" s="250"/>
      <c r="M5" s="250"/>
      <c r="O5" s="31" t="s">
        <v>70</v>
      </c>
      <c r="P5" s="43">
        <v>90000000</v>
      </c>
      <c r="V5" s="32" t="s">
        <v>70</v>
      </c>
      <c r="W5" s="134">
        <v>8000000</v>
      </c>
    </row>
    <row r="6" spans="1:27" ht="17.25">
      <c r="A6" s="251" t="s">
        <v>12</v>
      </c>
      <c r="B6" s="251" t="s">
        <v>10</v>
      </c>
      <c r="C6" s="250"/>
      <c r="D6" s="266" t="s">
        <v>59</v>
      </c>
      <c r="E6" s="266" t="s">
        <v>72</v>
      </c>
      <c r="F6" s="266" t="s">
        <v>37</v>
      </c>
      <c r="G6" s="250"/>
      <c r="H6" s="268" t="s">
        <v>28</v>
      </c>
      <c r="I6" s="254">
        <v>740</v>
      </c>
      <c r="J6" s="266"/>
      <c r="K6" s="266"/>
      <c r="L6" s="266"/>
      <c r="M6" s="250"/>
      <c r="O6" s="31" t="s">
        <v>28</v>
      </c>
      <c r="P6">
        <v>740</v>
      </c>
      <c r="V6" s="32" t="s">
        <v>28</v>
      </c>
      <c r="W6" s="78">
        <v>720</v>
      </c>
      <c r="Y6" s="246" t="s">
        <v>59</v>
      </c>
      <c r="Z6" s="247" t="s">
        <v>72</v>
      </c>
      <c r="AA6" s="248" t="s">
        <v>37</v>
      </c>
    </row>
    <row r="7" spans="1:27" ht="17.25">
      <c r="A7" s="251" t="s">
        <v>17</v>
      </c>
      <c r="B7" s="254">
        <v>7</v>
      </c>
      <c r="C7" s="284" t="s">
        <v>91</v>
      </c>
      <c r="D7" s="255">
        <v>0.875</v>
      </c>
      <c r="E7" s="255">
        <v>0.8</v>
      </c>
      <c r="F7" s="255">
        <v>0.9</v>
      </c>
      <c r="G7" s="250"/>
      <c r="H7" s="251" t="s">
        <v>12</v>
      </c>
      <c r="I7" s="270" t="s">
        <v>92</v>
      </c>
      <c r="J7" s="250"/>
      <c r="K7" s="250"/>
      <c r="L7" s="250"/>
      <c r="M7" s="250"/>
      <c r="O7" s="31" t="s">
        <v>12</v>
      </c>
      <c r="P7" s="31" t="s">
        <v>92</v>
      </c>
      <c r="Q7" s="242" t="s">
        <v>59</v>
      </c>
      <c r="R7" s="243" t="s">
        <v>72</v>
      </c>
      <c r="S7" s="244" t="s">
        <v>37</v>
      </c>
      <c r="V7" s="32" t="s">
        <v>12</v>
      </c>
      <c r="W7" s="32" t="s">
        <v>92</v>
      </c>
      <c r="Y7" s="246">
        <v>0.8</v>
      </c>
      <c r="Z7" s="247">
        <v>0.72499999999999998</v>
      </c>
      <c r="AA7" s="248">
        <v>0.82499999999999996</v>
      </c>
    </row>
    <row r="8" spans="1:27" ht="17.25">
      <c r="A8" s="250"/>
      <c r="B8" s="250"/>
      <c r="C8" s="285" t="s">
        <v>93</v>
      </c>
      <c r="D8" s="267">
        <v>0.9</v>
      </c>
      <c r="E8" s="267">
        <v>0.8</v>
      </c>
      <c r="F8" s="267">
        <v>0.93500000000000005</v>
      </c>
      <c r="G8" s="250"/>
      <c r="H8" s="251" t="s">
        <v>17</v>
      </c>
      <c r="I8" s="254">
        <v>7</v>
      </c>
      <c r="J8" s="250"/>
      <c r="K8" s="250"/>
      <c r="L8" s="250"/>
      <c r="M8" s="250"/>
      <c r="O8" s="31" t="s">
        <v>17</v>
      </c>
      <c r="P8">
        <v>2</v>
      </c>
      <c r="Q8" s="275">
        <v>0.75</v>
      </c>
      <c r="R8" s="276">
        <v>0.65</v>
      </c>
      <c r="S8" s="277">
        <v>0.8</v>
      </c>
      <c r="V8" s="32" t="s">
        <v>17</v>
      </c>
      <c r="W8" s="78">
        <v>5</v>
      </c>
    </row>
    <row r="9" spans="1:27" ht="15">
      <c r="A9" s="251" t="s">
        <v>60</v>
      </c>
      <c r="B9" s="252">
        <f>D3</f>
        <v>3010000</v>
      </c>
      <c r="C9" s="250"/>
      <c r="D9" s="288">
        <f>D7*D3</f>
        <v>2633750</v>
      </c>
      <c r="E9" s="250"/>
      <c r="F9" s="250"/>
      <c r="G9" s="250"/>
      <c r="H9" s="250"/>
      <c r="I9" s="250"/>
      <c r="J9" s="250"/>
      <c r="K9" s="250"/>
      <c r="L9" s="250"/>
      <c r="M9" s="250"/>
    </row>
    <row r="10" spans="1:27" ht="15">
      <c r="A10" s="251" t="s">
        <v>72</v>
      </c>
      <c r="B10" s="256">
        <v>0.8</v>
      </c>
      <c r="C10" s="252">
        <f>(B4*B10)</f>
        <v>5600000</v>
      </c>
      <c r="D10" s="257"/>
      <c r="E10" s="258"/>
      <c r="F10" s="253"/>
      <c r="G10" s="250"/>
      <c r="H10" s="251" t="s">
        <v>60</v>
      </c>
      <c r="I10" s="252">
        <f>E16</f>
        <v>2672500</v>
      </c>
      <c r="J10" s="250"/>
      <c r="K10" s="250"/>
      <c r="L10" s="250"/>
      <c r="M10" s="250"/>
      <c r="O10" s="31" t="s">
        <v>60</v>
      </c>
      <c r="P10" s="43">
        <f>R4</f>
        <v>11000000</v>
      </c>
      <c r="V10" s="32" t="s">
        <v>60</v>
      </c>
      <c r="W10" s="134">
        <f>Y4</f>
        <v>5499999</v>
      </c>
    </row>
    <row r="11" spans="1:27" ht="15">
      <c r="A11" s="251" t="s">
        <v>37</v>
      </c>
      <c r="B11" s="259">
        <v>0.9</v>
      </c>
      <c r="C11" s="252">
        <f>(B2+B3)*B11</f>
        <v>2709000</v>
      </c>
      <c r="D11" s="257"/>
      <c r="E11" s="260"/>
      <c r="F11" s="253"/>
      <c r="G11" s="250"/>
      <c r="H11" s="251" t="s">
        <v>72</v>
      </c>
      <c r="I11" s="271">
        <v>80</v>
      </c>
      <c r="J11" s="252">
        <f>(I5*I11)/100</f>
        <v>5600000</v>
      </c>
      <c r="K11" s="250"/>
      <c r="L11" s="250"/>
      <c r="M11" s="250"/>
      <c r="O11" s="31" t="s">
        <v>72</v>
      </c>
      <c r="P11" s="25">
        <v>65</v>
      </c>
      <c r="Q11" s="43">
        <f>(P5*P11)/100</f>
        <v>58500000</v>
      </c>
      <c r="V11" s="32" t="s">
        <v>72</v>
      </c>
      <c r="W11" s="287">
        <v>0.72499999999999998</v>
      </c>
      <c r="X11" s="134">
        <f>(W5*W11)</f>
        <v>5800000</v>
      </c>
    </row>
    <row r="12" spans="1:27" ht="15">
      <c r="A12" s="251" t="s">
        <v>59</v>
      </c>
      <c r="B12" s="261">
        <v>0.875</v>
      </c>
      <c r="C12" s="250"/>
      <c r="D12" s="257"/>
      <c r="E12" s="260"/>
      <c r="F12" s="250"/>
      <c r="G12" s="250"/>
      <c r="H12" s="251" t="s">
        <v>37</v>
      </c>
      <c r="I12" s="259">
        <v>0.93500000000000005</v>
      </c>
      <c r="J12" s="252">
        <f>(I3+I4)*I12</f>
        <v>2795650</v>
      </c>
      <c r="K12" s="250"/>
      <c r="L12" s="250"/>
      <c r="M12" s="250"/>
      <c r="O12" s="31" t="s">
        <v>37</v>
      </c>
      <c r="P12" s="239">
        <v>0.8</v>
      </c>
      <c r="Q12" s="43">
        <f>(P3+P4)*P12</f>
        <v>8800000</v>
      </c>
      <c r="V12" s="32" t="s">
        <v>37</v>
      </c>
      <c r="W12" s="21">
        <v>0.82499999999999996</v>
      </c>
      <c r="X12" s="134">
        <f>(W3+W4)*W12</f>
        <v>4537499.1749999998</v>
      </c>
    </row>
    <row r="13" spans="1:27" ht="15">
      <c r="A13" s="251" t="s">
        <v>73</v>
      </c>
      <c r="B13" s="252">
        <f>MIN(C10:C11)</f>
        <v>2709000</v>
      </c>
      <c r="C13" s="253"/>
      <c r="D13" s="251" t="s">
        <v>74</v>
      </c>
      <c r="E13" s="250"/>
      <c r="F13" s="250"/>
      <c r="G13" s="250"/>
      <c r="H13" s="251" t="s">
        <v>59</v>
      </c>
      <c r="I13" s="261">
        <v>0.9</v>
      </c>
      <c r="J13" s="250"/>
      <c r="K13" s="250"/>
      <c r="L13" s="250"/>
      <c r="M13" s="250"/>
      <c r="O13" s="31" t="s">
        <v>59</v>
      </c>
      <c r="P13" s="20">
        <v>0.75</v>
      </c>
      <c r="V13" s="32" t="s">
        <v>59</v>
      </c>
      <c r="W13" s="137">
        <v>0.8</v>
      </c>
    </row>
    <row r="14" spans="1:27" ht="15">
      <c r="A14" s="251" t="s">
        <v>75</v>
      </c>
      <c r="B14" s="252">
        <f>B2*B12</f>
        <v>2362500</v>
      </c>
      <c r="C14" s="253"/>
      <c r="D14" s="272" t="s">
        <v>59</v>
      </c>
      <c r="E14" s="263">
        <f>(B14/B2)*100</f>
        <v>87.5</v>
      </c>
      <c r="F14" s="263"/>
      <c r="G14" s="250"/>
      <c r="H14" s="251" t="s">
        <v>73</v>
      </c>
      <c r="I14" s="252">
        <f>MIN(J11:J12)</f>
        <v>2795650</v>
      </c>
      <c r="J14" s="250"/>
      <c r="K14" s="142" t="s">
        <v>94</v>
      </c>
      <c r="L14" s="250"/>
      <c r="M14" s="250"/>
      <c r="O14" s="31" t="s">
        <v>73</v>
      </c>
      <c r="P14" s="43">
        <f>MIN(Q11:Q12)</f>
        <v>8800000</v>
      </c>
      <c r="R14" s="41" t="s">
        <v>74</v>
      </c>
      <c r="V14" s="32" t="s">
        <v>73</v>
      </c>
      <c r="W14" s="134">
        <f>MIN(X11:X12)</f>
        <v>4537499.1749999998</v>
      </c>
      <c r="Y14" s="41" t="s">
        <v>74</v>
      </c>
    </row>
    <row r="15" spans="1:27" ht="15">
      <c r="A15" s="251" t="s">
        <v>76</v>
      </c>
      <c r="B15" s="252">
        <f>B14+B3</f>
        <v>2672500</v>
      </c>
      <c r="C15" s="253"/>
      <c r="D15" s="262" t="s">
        <v>37</v>
      </c>
      <c r="E15" s="263">
        <f>(B16/(B2+B3))*100</f>
        <v>88.787375415282384</v>
      </c>
      <c r="F15" s="263"/>
      <c r="G15" s="250"/>
      <c r="H15" s="251" t="s">
        <v>75</v>
      </c>
      <c r="I15" s="252">
        <f>I3*I13</f>
        <v>2430000</v>
      </c>
      <c r="J15" s="250"/>
      <c r="K15" s="272" t="s">
        <v>59</v>
      </c>
      <c r="L15" s="263">
        <f>(I15/I3)*100</f>
        <v>90</v>
      </c>
      <c r="M15" s="263"/>
      <c r="O15" s="31" t="s">
        <v>75</v>
      </c>
      <c r="P15" s="43">
        <f>P3*P13</f>
        <v>4500000</v>
      </c>
      <c r="R15" s="40" t="s">
        <v>59</v>
      </c>
      <c r="S15" s="24">
        <f>(P15/P3)*100</f>
        <v>75</v>
      </c>
      <c r="T15" s="24"/>
      <c r="V15" s="32" t="s">
        <v>75</v>
      </c>
      <c r="W15" s="134">
        <f>W3*W13</f>
        <v>4000000</v>
      </c>
      <c r="Y15" s="40" t="s">
        <v>59</v>
      </c>
      <c r="Z15" s="24">
        <f>(W15/W3)*100</f>
        <v>80</v>
      </c>
      <c r="AA15" s="24"/>
    </row>
    <row r="16" spans="1:27" ht="15">
      <c r="A16" s="251" t="s">
        <v>77</v>
      </c>
      <c r="B16" s="264">
        <f>MIN(B13,B15)</f>
        <v>2672500</v>
      </c>
      <c r="C16" s="265"/>
      <c r="D16" s="262" t="s">
        <v>60</v>
      </c>
      <c r="E16" s="263">
        <f>B16</f>
        <v>2672500</v>
      </c>
      <c r="F16" s="263"/>
      <c r="G16" s="250"/>
      <c r="H16" s="251" t="s">
        <v>76</v>
      </c>
      <c r="I16" s="252">
        <f>I15+I4</f>
        <v>2720000</v>
      </c>
      <c r="J16" s="257"/>
      <c r="K16" s="262" t="s">
        <v>37</v>
      </c>
      <c r="L16" s="263">
        <f>(I17/(I3+I4))*100</f>
        <v>90.969899665551836</v>
      </c>
      <c r="M16" s="263"/>
      <c r="O16" s="31" t="s">
        <v>76</v>
      </c>
      <c r="P16" s="43">
        <f>P15+P4</f>
        <v>9500000</v>
      </c>
      <c r="Q16" s="31"/>
      <c r="R16" s="40" t="s">
        <v>37</v>
      </c>
      <c r="S16" s="24">
        <f>(P17/(P3+P4))*100</f>
        <v>80</v>
      </c>
      <c r="T16" s="24"/>
      <c r="V16" s="32" t="s">
        <v>76</v>
      </c>
      <c r="W16" s="134">
        <f>W15+W4</f>
        <v>4499999</v>
      </c>
      <c r="X16" s="31"/>
      <c r="Y16" s="40" t="s">
        <v>37</v>
      </c>
      <c r="Z16" s="24">
        <f>(W17/(W3+W4))*100</f>
        <v>81.818178512396088</v>
      </c>
      <c r="AA16" s="24"/>
    </row>
    <row r="17" spans="1:27" ht="15">
      <c r="A17" s="251" t="s">
        <v>78</v>
      </c>
      <c r="B17" s="252">
        <f>B16-B14</f>
        <v>310000</v>
      </c>
      <c r="C17" s="253"/>
      <c r="D17" s="262" t="s">
        <v>53</v>
      </c>
      <c r="E17" s="262" t="s">
        <v>79</v>
      </c>
      <c r="F17" s="262" t="s">
        <v>80</v>
      </c>
      <c r="G17" s="250"/>
      <c r="H17" s="251" t="s">
        <v>77</v>
      </c>
      <c r="I17" s="264">
        <f>MIN(I14,I16)</f>
        <v>2720000</v>
      </c>
      <c r="J17" s="257"/>
      <c r="K17" s="262" t="s">
        <v>60</v>
      </c>
      <c r="L17" s="280">
        <f>I17</f>
        <v>2720000</v>
      </c>
      <c r="M17" s="263"/>
      <c r="O17" s="31" t="s">
        <v>77</v>
      </c>
      <c r="P17" s="44">
        <f>MIN(P14,P16)</f>
        <v>8800000</v>
      </c>
      <c r="Q17" s="31"/>
      <c r="R17" s="40" t="s">
        <v>60</v>
      </c>
      <c r="S17" s="24">
        <f>P17</f>
        <v>8800000</v>
      </c>
      <c r="T17" s="24"/>
      <c r="V17" s="32" t="s">
        <v>77</v>
      </c>
      <c r="W17" s="286">
        <f>MIN(W14,W16)</f>
        <v>4499999</v>
      </c>
      <c r="X17" s="31"/>
      <c r="Y17" s="40" t="s">
        <v>60</v>
      </c>
      <c r="Z17" s="24">
        <f>W17</f>
        <v>4499999</v>
      </c>
      <c r="AA17" s="24"/>
    </row>
    <row r="18" spans="1:27" ht="15">
      <c r="A18" s="250"/>
      <c r="B18" s="250"/>
      <c r="C18" s="250"/>
      <c r="D18" s="262" t="s">
        <v>61</v>
      </c>
      <c r="E18" s="263">
        <v>8.9250000000000007</v>
      </c>
      <c r="F18" s="263">
        <f>0.3+E18</f>
        <v>9.2250000000000014</v>
      </c>
      <c r="G18" s="250"/>
      <c r="H18" s="251" t="s">
        <v>78</v>
      </c>
      <c r="I18" s="252">
        <f>I17-I15</f>
        <v>290000</v>
      </c>
      <c r="J18" s="250"/>
      <c r="K18" s="262" t="s">
        <v>53</v>
      </c>
      <c r="L18" s="262" t="s">
        <v>79</v>
      </c>
      <c r="M18" s="262" t="s">
        <v>80</v>
      </c>
      <c r="O18" s="31" t="s">
        <v>78</v>
      </c>
      <c r="P18" s="43">
        <f>P17-P15</f>
        <v>4300000</v>
      </c>
      <c r="R18" s="40" t="s">
        <v>53</v>
      </c>
      <c r="S18" s="40" t="s">
        <v>79</v>
      </c>
      <c r="T18" s="40" t="s">
        <v>80</v>
      </c>
      <c r="V18" s="32" t="s">
        <v>78</v>
      </c>
      <c r="W18" s="134">
        <f>W17-W15</f>
        <v>499999</v>
      </c>
      <c r="Y18" s="40" t="s">
        <v>53</v>
      </c>
      <c r="Z18" s="40" t="s">
        <v>79</v>
      </c>
      <c r="AA18" s="40" t="s">
        <v>80</v>
      </c>
    </row>
    <row r="19" spans="1:27" ht="15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73" t="s">
        <v>61</v>
      </c>
      <c r="L19" s="274">
        <v>8.6750000000000007</v>
      </c>
      <c r="M19" s="263">
        <f>0.3+L19</f>
        <v>8.9750000000000014</v>
      </c>
      <c r="R19" s="135" t="s">
        <v>61</v>
      </c>
      <c r="S19" s="136">
        <v>9.7569999999999997</v>
      </c>
      <c r="T19" s="24">
        <f>0.3+S19</f>
        <v>10.057</v>
      </c>
      <c r="Y19" s="135" t="s">
        <v>61</v>
      </c>
      <c r="Z19" s="136">
        <v>9.7569999999999997</v>
      </c>
      <c r="AA19" s="24">
        <f>0.3+Z19</f>
        <v>10.057</v>
      </c>
    </row>
    <row r="20" spans="1:27" ht="15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1" t="s">
        <v>75</v>
      </c>
      <c r="L20" s="252">
        <f>I15</f>
        <v>2430000</v>
      </c>
      <c r="M20" s="250"/>
      <c r="R20" s="78" t="s">
        <v>75</v>
      </c>
      <c r="S20" s="134">
        <f>P15</f>
        <v>4500000</v>
      </c>
      <c r="Y20" s="78" t="s">
        <v>75</v>
      </c>
      <c r="Z20" s="134">
        <f>W15</f>
        <v>4000000</v>
      </c>
    </row>
    <row r="21" spans="1:27" ht="15">
      <c r="A21" s="250"/>
      <c r="B21" s="250"/>
      <c r="C21" s="250"/>
      <c r="D21" s="250"/>
      <c r="E21" s="250"/>
      <c r="F21" s="250"/>
      <c r="G21" s="250"/>
      <c r="H21" s="250"/>
      <c r="I21" s="250"/>
      <c r="J21" s="250"/>
      <c r="K21" s="251" t="s">
        <v>78</v>
      </c>
      <c r="L21" s="252">
        <f>I18</f>
        <v>290000</v>
      </c>
      <c r="M21" s="250"/>
      <c r="R21" s="78" t="s">
        <v>95</v>
      </c>
      <c r="S21" s="134">
        <f>P18</f>
        <v>4300000</v>
      </c>
      <c r="Y21" s="78" t="s">
        <v>95</v>
      </c>
      <c r="Z21" s="134">
        <f>W18</f>
        <v>499999</v>
      </c>
    </row>
    <row r="22" spans="1:27" ht="17.25">
      <c r="O22" s="31"/>
      <c r="P22" s="20"/>
      <c r="Q22" s="43"/>
      <c r="T22" s="245"/>
      <c r="V22" s="31"/>
      <c r="W22" s="20"/>
      <c r="X22" s="43"/>
    </row>
    <row r="23" spans="1:27" ht="15">
      <c r="O23" s="31"/>
      <c r="P23" s="20"/>
      <c r="V23" s="31"/>
      <c r="W23" s="20"/>
    </row>
    <row r="24" spans="1:27" ht="15">
      <c r="O24" s="31"/>
      <c r="P24" s="43"/>
      <c r="R24" s="41"/>
      <c r="V24" s="31"/>
      <c r="W24" s="43"/>
      <c r="Y24" s="41"/>
    </row>
    <row r="25" spans="1:27" ht="15">
      <c r="A25" t="s">
        <v>96</v>
      </c>
      <c r="O25" s="31"/>
      <c r="P25" s="43"/>
      <c r="R25" s="40"/>
      <c r="S25" s="24"/>
      <c r="T25" s="24"/>
      <c r="V25" s="31"/>
      <c r="W25" s="43"/>
      <c r="Y25" s="40"/>
      <c r="Z25" s="24"/>
      <c r="AA25" s="24"/>
    </row>
    <row r="26" spans="1:27" ht="15">
      <c r="A26" t="s">
        <v>97</v>
      </c>
      <c r="B26" s="43">
        <f>B2</f>
        <v>2700000</v>
      </c>
      <c r="O26" s="31"/>
      <c r="P26" s="43"/>
      <c r="Q26" s="31"/>
      <c r="R26" s="40"/>
      <c r="S26" s="24"/>
      <c r="T26" s="24"/>
      <c r="V26" s="31"/>
      <c r="W26" s="43"/>
      <c r="X26" s="31"/>
      <c r="Y26" s="40"/>
      <c r="Z26" s="24"/>
      <c r="AA26" s="24"/>
    </row>
    <row r="27" spans="1:27" ht="15">
      <c r="A27" t="s">
        <v>69</v>
      </c>
      <c r="B27" s="43">
        <f>B3</f>
        <v>310000</v>
      </c>
      <c r="O27" s="31"/>
      <c r="P27" s="44"/>
      <c r="Q27" s="31"/>
      <c r="R27" s="40"/>
      <c r="S27" s="24"/>
      <c r="T27" s="24"/>
      <c r="V27" s="31"/>
      <c r="W27" s="44"/>
      <c r="X27" s="31"/>
      <c r="Y27" s="40"/>
      <c r="Z27" s="24"/>
      <c r="AA27" s="24"/>
    </row>
    <row r="28" spans="1:27" ht="15">
      <c r="O28" s="31"/>
      <c r="P28" s="43"/>
      <c r="R28" s="40"/>
      <c r="S28" s="40"/>
      <c r="T28" s="40"/>
      <c r="V28" s="31"/>
      <c r="W28" s="43"/>
      <c r="Y28" s="40"/>
      <c r="Z28" s="40"/>
      <c r="AA28" s="40"/>
    </row>
    <row r="29" spans="1:27" ht="15">
      <c r="B29" s="43">
        <f>SUM(B26:B27)</f>
        <v>3010000</v>
      </c>
      <c r="R29" s="135"/>
      <c r="S29" s="136"/>
      <c r="T29" s="24"/>
      <c r="Y29" s="135"/>
      <c r="Z29" s="136"/>
      <c r="AA29" s="24"/>
    </row>
    <row r="30" spans="1:27" ht="15">
      <c r="R30" s="78"/>
      <c r="S30" s="134"/>
      <c r="Y30" s="78"/>
      <c r="Z30" s="134"/>
    </row>
    <row r="31" spans="1:27" ht="15">
      <c r="R31" s="78"/>
      <c r="S31" s="134"/>
      <c r="Y31" s="78"/>
      <c r="Z31" s="134"/>
    </row>
    <row r="32" spans="1:27" ht="15"/>
    <row r="36" spans="8:9">
      <c r="H36" t="s">
        <v>96</v>
      </c>
    </row>
    <row r="37" spans="8:9">
      <c r="H37" t="s">
        <v>97</v>
      </c>
      <c r="I37" s="43">
        <f>I3</f>
        <v>2700000</v>
      </c>
    </row>
    <row r="38" spans="8:9">
      <c r="H38" t="s">
        <v>69</v>
      </c>
      <c r="I38" s="43">
        <f>I4</f>
        <v>290000</v>
      </c>
    </row>
    <row r="40" spans="8:9">
      <c r="I40" s="43">
        <f>SUM(I37:I38)</f>
        <v>2990000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0980-92D3-471A-8B84-F67EF10EC461}">
  <dimension ref="A1:BP58"/>
  <sheetViews>
    <sheetView topLeftCell="K11" workbookViewId="0">
      <selection activeCell="D28" sqref="D28"/>
    </sheetView>
  </sheetViews>
  <sheetFormatPr defaultRowHeight="15"/>
  <cols>
    <col min="2" max="2" width="18.7109375" customWidth="1"/>
    <col min="3" max="3" width="11.5703125" customWidth="1"/>
    <col min="4" max="4" width="53.7109375" bestFit="1" customWidth="1"/>
    <col min="5" max="5" width="25" bestFit="1" customWidth="1"/>
    <col min="6" max="6" width="13.140625" customWidth="1"/>
    <col min="8" max="8" width="23.85546875" customWidth="1"/>
    <col min="9" max="9" width="11.7109375" customWidth="1"/>
    <col min="10" max="10" width="17.85546875" customWidth="1"/>
    <col min="11" max="11" width="38.28515625" customWidth="1"/>
    <col min="12" max="12" width="13.42578125" hidden="1" customWidth="1"/>
    <col min="13" max="13" width="11.5703125" hidden="1" customWidth="1"/>
    <col min="14" max="14" width="15.85546875" hidden="1" customWidth="1"/>
    <col min="15" max="15" width="0" hidden="1" customWidth="1"/>
    <col min="16" max="16" width="21.85546875" hidden="1" customWidth="1"/>
    <col min="17" max="17" width="11.5703125" hidden="1" customWidth="1"/>
    <col min="18" max="18" width="0" hidden="1" customWidth="1"/>
    <col min="19" max="19" width="22.7109375" hidden="1" customWidth="1"/>
    <col min="20" max="23" width="0" hidden="1" customWidth="1"/>
    <col min="24" max="26" width="18.85546875" style="89" hidden="1" customWidth="1"/>
    <col min="27" max="27" width="18.85546875" style="90" hidden="1" customWidth="1"/>
    <col min="28" max="28" width="26" style="89" hidden="1" customWidth="1"/>
    <col min="29" max="32" width="18.85546875" style="89" hidden="1" customWidth="1"/>
    <col min="33" max="33" width="18.85546875" style="91" hidden="1" customWidth="1"/>
    <col min="34" max="34" width="18.85546875" style="89" hidden="1" customWidth="1"/>
    <col min="35" max="38" width="18.85546875" style="89" customWidth="1"/>
    <col min="39" max="39" width="27.7109375" style="89" customWidth="1"/>
    <col min="40" max="49" width="18.85546875" style="89" customWidth="1"/>
    <col min="50" max="50" width="27.28515625" style="89" customWidth="1"/>
    <col min="51" max="52" width="18.85546875" style="89" customWidth="1"/>
    <col min="53" max="53" width="25.140625" style="89" customWidth="1"/>
    <col min="54" max="68" width="18.85546875" style="89" customWidth="1"/>
  </cols>
  <sheetData>
    <row r="1" spans="1:68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68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68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AB3" s="92"/>
    </row>
    <row r="4" spans="1:68" ht="19.5">
      <c r="A4" s="45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6"/>
      <c r="M4" s="45"/>
      <c r="N4" s="45"/>
      <c r="O4" s="45"/>
      <c r="P4" s="45"/>
      <c r="Q4" s="45"/>
      <c r="R4" s="45"/>
      <c r="S4" s="45"/>
      <c r="T4" s="45"/>
      <c r="U4" s="45"/>
      <c r="X4" s="93" t="s">
        <v>0</v>
      </c>
      <c r="Y4" s="93" t="s">
        <v>23</v>
      </c>
      <c r="AI4" s="94" t="s">
        <v>1</v>
      </c>
      <c r="AJ4" s="94" t="s">
        <v>98</v>
      </c>
      <c r="BH4" s="94" t="s">
        <v>65</v>
      </c>
      <c r="BI4" s="94" t="s">
        <v>99</v>
      </c>
    </row>
    <row r="5" spans="1:68" ht="15.7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AC5" s="95"/>
      <c r="AT5" s="93" t="s">
        <v>2</v>
      </c>
      <c r="AU5" s="93" t="s">
        <v>100</v>
      </c>
    </row>
    <row r="6" spans="1:68">
      <c r="A6" s="47" t="s">
        <v>3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7"/>
      <c r="M6" s="45"/>
      <c r="N6" s="45"/>
      <c r="O6" s="45"/>
      <c r="P6" s="45"/>
      <c r="Q6" s="45"/>
      <c r="R6" s="45"/>
      <c r="S6" s="45"/>
      <c r="T6" s="45"/>
      <c r="U6" s="45"/>
      <c r="X6" s="96" t="s">
        <v>3</v>
      </c>
      <c r="AC6" s="97"/>
      <c r="AI6" s="96" t="s">
        <v>3</v>
      </c>
      <c r="BH6" s="96" t="s">
        <v>3</v>
      </c>
    </row>
    <row r="7" spans="1:68">
      <c r="A7" s="45"/>
      <c r="B7" s="48" t="s">
        <v>4</v>
      </c>
      <c r="C7" s="48">
        <v>740</v>
      </c>
      <c r="D7" s="45"/>
      <c r="E7" s="45"/>
      <c r="F7" s="45"/>
      <c r="G7" s="45"/>
      <c r="H7" s="45"/>
      <c r="I7" s="45"/>
      <c r="J7" s="45"/>
      <c r="K7" s="45"/>
      <c r="L7" s="45"/>
      <c r="M7" s="48"/>
      <c r="N7" s="48"/>
      <c r="O7" s="45"/>
      <c r="P7" s="45"/>
      <c r="Q7" s="45"/>
      <c r="R7" s="45"/>
      <c r="S7" s="45"/>
      <c r="T7" s="45"/>
      <c r="U7" s="45"/>
      <c r="Y7" s="98" t="s">
        <v>4</v>
      </c>
      <c r="Z7" s="98">
        <v>740</v>
      </c>
      <c r="AC7" s="97"/>
      <c r="AJ7" s="98" t="s">
        <v>4</v>
      </c>
      <c r="AK7" s="98">
        <v>740</v>
      </c>
      <c r="AT7" s="96" t="s">
        <v>3</v>
      </c>
      <c r="BI7" s="98" t="s">
        <v>4</v>
      </c>
      <c r="BJ7" s="98">
        <v>688</v>
      </c>
    </row>
    <row r="8" spans="1:68">
      <c r="A8" s="45"/>
      <c r="B8" s="48" t="s">
        <v>5</v>
      </c>
      <c r="C8" s="49">
        <v>1350000</v>
      </c>
      <c r="D8" s="45"/>
      <c r="E8" s="45"/>
      <c r="F8" s="45"/>
      <c r="G8" s="45"/>
      <c r="H8" s="45"/>
      <c r="I8" s="45"/>
      <c r="J8" s="45"/>
      <c r="K8" s="45"/>
      <c r="L8" s="45"/>
      <c r="M8" s="48"/>
      <c r="N8" s="49"/>
      <c r="O8" s="45"/>
      <c r="P8" s="45"/>
      <c r="Q8" s="45"/>
      <c r="R8" s="45"/>
      <c r="S8" s="45"/>
      <c r="T8" s="45"/>
      <c r="U8" s="45"/>
      <c r="Y8" s="98" t="s">
        <v>5</v>
      </c>
      <c r="Z8" s="99">
        <v>1350000</v>
      </c>
      <c r="AC8" s="100"/>
      <c r="AD8" s="100"/>
      <c r="AJ8" s="98" t="s">
        <v>5</v>
      </c>
      <c r="AK8" s="99">
        <v>2500000</v>
      </c>
      <c r="AU8" s="98" t="s">
        <v>4</v>
      </c>
      <c r="AV8" s="98">
        <v>740</v>
      </c>
      <c r="BI8" s="98" t="s">
        <v>5</v>
      </c>
      <c r="BJ8" s="99">
        <v>2500000</v>
      </c>
    </row>
    <row r="9" spans="1:68">
      <c r="A9" s="45"/>
      <c r="B9" s="48" t="s">
        <v>101</v>
      </c>
      <c r="C9" s="48">
        <v>4800</v>
      </c>
      <c r="D9" s="45"/>
      <c r="E9" s="45"/>
      <c r="F9" s="45"/>
      <c r="G9" s="45"/>
      <c r="H9" s="45"/>
      <c r="I9" s="45"/>
      <c r="J9" s="45"/>
      <c r="K9" s="45"/>
      <c r="L9" s="45"/>
      <c r="M9" s="48"/>
      <c r="N9" s="48"/>
      <c r="O9" s="45"/>
      <c r="P9" s="45"/>
      <c r="Q9" s="45"/>
      <c r="R9" s="45"/>
      <c r="S9" s="45"/>
      <c r="T9" s="45"/>
      <c r="U9" s="45"/>
      <c r="Y9" s="98" t="s">
        <v>101</v>
      </c>
      <c r="Z9" s="98">
        <v>5000</v>
      </c>
      <c r="AJ9" s="98" t="s">
        <v>6</v>
      </c>
      <c r="AK9" s="98">
        <v>3000</v>
      </c>
      <c r="AU9" s="98" t="s">
        <v>5</v>
      </c>
      <c r="AV9" s="99">
        <v>2500000</v>
      </c>
      <c r="BI9" s="98" t="s">
        <v>6</v>
      </c>
      <c r="BJ9" s="98">
        <v>2500</v>
      </c>
    </row>
    <row r="10" spans="1:68">
      <c r="A10" s="45"/>
      <c r="B10" s="48" t="s">
        <v>9</v>
      </c>
      <c r="C10" s="48" t="s">
        <v>8</v>
      </c>
      <c r="D10" s="45"/>
      <c r="E10" s="45"/>
      <c r="F10" s="45"/>
      <c r="G10" s="45"/>
      <c r="H10" s="50" t="s">
        <v>102</v>
      </c>
      <c r="I10" s="45"/>
      <c r="J10" s="45"/>
      <c r="K10" s="45"/>
      <c r="L10" s="45"/>
      <c r="M10" s="48"/>
      <c r="N10" s="48"/>
      <c r="O10" s="45"/>
      <c r="P10" s="45"/>
      <c r="Q10" s="45"/>
      <c r="R10" s="45"/>
      <c r="S10" s="45"/>
      <c r="T10" s="45"/>
      <c r="U10" s="45"/>
      <c r="Y10" s="98" t="s">
        <v>9</v>
      </c>
      <c r="Z10" s="98" t="s">
        <v>8</v>
      </c>
      <c r="AE10" s="89" t="s">
        <v>103</v>
      </c>
      <c r="AJ10" s="98" t="s">
        <v>9</v>
      </c>
      <c r="AK10" s="98" t="s">
        <v>8</v>
      </c>
      <c r="AO10" s="89" t="s">
        <v>104</v>
      </c>
      <c r="AU10" s="98" t="s">
        <v>6</v>
      </c>
      <c r="AV10" s="98">
        <v>3000</v>
      </c>
      <c r="BI10" s="98" t="s">
        <v>9</v>
      </c>
      <c r="BJ10" s="98" t="s">
        <v>8</v>
      </c>
    </row>
    <row r="11" spans="1:68">
      <c r="A11" s="45"/>
      <c r="B11" s="48" t="s">
        <v>105</v>
      </c>
      <c r="C11" s="48">
        <v>3.8969999999999998</v>
      </c>
      <c r="D11" s="50" t="s">
        <v>106</v>
      </c>
      <c r="E11" s="48" t="s">
        <v>11</v>
      </c>
      <c r="F11" s="51">
        <v>0.8</v>
      </c>
      <c r="G11" s="45"/>
      <c r="H11" s="52" t="s">
        <v>107</v>
      </c>
      <c r="I11" s="52">
        <v>0</v>
      </c>
      <c r="J11" s="50" t="s">
        <v>108</v>
      </c>
      <c r="K11" s="45"/>
      <c r="L11" s="45"/>
      <c r="M11" s="53"/>
      <c r="N11" s="53"/>
      <c r="O11" s="45"/>
      <c r="P11" s="48"/>
      <c r="Q11" s="54"/>
      <c r="R11" s="45"/>
      <c r="S11" s="45"/>
      <c r="T11" s="45"/>
      <c r="U11" s="45"/>
      <c r="Y11" s="98" t="s">
        <v>105</v>
      </c>
      <c r="Z11" s="98">
        <v>4.165</v>
      </c>
      <c r="AB11" s="98" t="s">
        <v>11</v>
      </c>
      <c r="AC11" s="101">
        <v>0.8</v>
      </c>
      <c r="AE11" s="102" t="s">
        <v>107</v>
      </c>
      <c r="AF11" s="102">
        <v>0</v>
      </c>
      <c r="AJ11" s="103" t="s">
        <v>12</v>
      </c>
      <c r="AK11" s="103" t="s">
        <v>109</v>
      </c>
      <c r="AM11" s="98" t="s">
        <v>110</v>
      </c>
      <c r="AN11" s="104">
        <f>AO11-10%</f>
        <v>0.70000000000000007</v>
      </c>
      <c r="AO11" s="105">
        <v>0.8</v>
      </c>
      <c r="AP11" s="103" t="s">
        <v>111</v>
      </c>
      <c r="AQ11" s="106">
        <v>-3.2</v>
      </c>
      <c r="AU11" s="98" t="s">
        <v>9</v>
      </c>
      <c r="AV11" s="98" t="s">
        <v>8</v>
      </c>
      <c r="AZ11" s="89" t="s">
        <v>104</v>
      </c>
      <c r="BI11" s="103" t="s">
        <v>12</v>
      </c>
      <c r="BJ11" s="103" t="s">
        <v>112</v>
      </c>
      <c r="BL11" s="98" t="s">
        <v>113</v>
      </c>
      <c r="BM11" s="104">
        <v>0.8</v>
      </c>
      <c r="BN11" s="105"/>
      <c r="BO11" s="103" t="s">
        <v>107</v>
      </c>
      <c r="BP11" s="106">
        <v>0</v>
      </c>
    </row>
    <row r="12" spans="1:68">
      <c r="A12" s="45"/>
      <c r="B12" s="48" t="s">
        <v>114</v>
      </c>
      <c r="C12" s="55">
        <v>1.5E-3</v>
      </c>
      <c r="D12" s="50" t="s">
        <v>115</v>
      </c>
      <c r="E12" s="48" t="s">
        <v>19</v>
      </c>
      <c r="F12" s="282">
        <v>1080000</v>
      </c>
      <c r="G12" s="45"/>
      <c r="H12" s="48" t="s">
        <v>20</v>
      </c>
      <c r="I12" s="54">
        <v>0</v>
      </c>
      <c r="J12" s="50" t="s">
        <v>116</v>
      </c>
      <c r="K12" s="45"/>
      <c r="L12" s="45"/>
      <c r="M12" s="45"/>
      <c r="N12" s="45"/>
      <c r="O12" s="45"/>
      <c r="P12" s="48"/>
      <c r="Q12" s="54"/>
      <c r="R12" s="45"/>
      <c r="S12" s="56"/>
      <c r="T12" s="57"/>
      <c r="U12" s="45"/>
      <c r="Y12" s="98" t="s">
        <v>114</v>
      </c>
      <c r="Z12" s="107">
        <v>1.5E-3</v>
      </c>
      <c r="AB12" s="98" t="s">
        <v>19</v>
      </c>
      <c r="AC12" s="108">
        <f>AC11*Z8</f>
        <v>1080000</v>
      </c>
      <c r="AE12" s="98" t="s">
        <v>20</v>
      </c>
      <c r="AF12" s="106">
        <v>0</v>
      </c>
      <c r="AJ12" s="98" t="s">
        <v>105</v>
      </c>
      <c r="AK12" s="133">
        <v>4.7570000000000001E-2</v>
      </c>
      <c r="AM12" s="98" t="s">
        <v>19</v>
      </c>
      <c r="AN12" s="108">
        <f>(AN11*AK8)</f>
        <v>1750000.0000000002</v>
      </c>
      <c r="AP12" s="109" t="s">
        <v>20</v>
      </c>
      <c r="AQ12" s="110">
        <v>0.1</v>
      </c>
      <c r="AU12" s="103" t="s">
        <v>12</v>
      </c>
      <c r="AV12" s="103" t="s">
        <v>117</v>
      </c>
      <c r="AX12" s="98" t="s">
        <v>110</v>
      </c>
      <c r="AY12" s="104">
        <v>0.8</v>
      </c>
      <c r="AZ12" s="105">
        <v>0.8</v>
      </c>
      <c r="BA12" s="103" t="s">
        <v>107</v>
      </c>
      <c r="BB12" s="106">
        <v>0</v>
      </c>
      <c r="BI12" s="98" t="s">
        <v>105</v>
      </c>
      <c r="BJ12" s="98">
        <v>4.165</v>
      </c>
      <c r="BL12" s="98" t="s">
        <v>19</v>
      </c>
      <c r="BM12" s="108">
        <f>(BM11*BJ8)</f>
        <v>2000000</v>
      </c>
      <c r="BO12" s="109" t="s">
        <v>20</v>
      </c>
      <c r="BP12" s="110">
        <v>0</v>
      </c>
    </row>
    <row r="13" spans="1:68">
      <c r="A13" s="45"/>
      <c r="B13" s="48" t="s">
        <v>17</v>
      </c>
      <c r="C13" s="48" t="s">
        <v>118</v>
      </c>
      <c r="D13" s="50" t="s">
        <v>119</v>
      </c>
      <c r="E13" s="48" t="s">
        <v>24</v>
      </c>
      <c r="F13" s="54">
        <v>1</v>
      </c>
      <c r="G13" s="45"/>
      <c r="H13" s="48" t="s">
        <v>25</v>
      </c>
      <c r="I13" s="54">
        <v>-0.15</v>
      </c>
      <c r="J13" s="50" t="s">
        <v>120</v>
      </c>
      <c r="K13" s="45"/>
      <c r="L13" s="45"/>
      <c r="M13" s="45"/>
      <c r="N13" s="45"/>
      <c r="O13" s="45"/>
      <c r="P13" s="48"/>
      <c r="Q13" s="54"/>
      <c r="R13" s="45"/>
      <c r="S13" s="56"/>
      <c r="T13" s="57"/>
      <c r="U13" s="45"/>
      <c r="Y13" s="98" t="s">
        <v>17</v>
      </c>
      <c r="Z13" s="98" t="s">
        <v>118</v>
      </c>
      <c r="AB13" s="98" t="s">
        <v>24</v>
      </c>
      <c r="AC13" s="106">
        <v>1</v>
      </c>
      <c r="AE13" s="98" t="s">
        <v>25</v>
      </c>
      <c r="AF13" s="106">
        <v>-0.15</v>
      </c>
      <c r="AJ13" s="98" t="s">
        <v>114</v>
      </c>
      <c r="AK13" s="107">
        <v>1.5E-3</v>
      </c>
      <c r="AM13" s="98" t="s">
        <v>24</v>
      </c>
      <c r="AN13" s="106">
        <v>1</v>
      </c>
      <c r="AP13" s="111" t="s">
        <v>25</v>
      </c>
      <c r="AQ13" s="112">
        <v>-0.15</v>
      </c>
      <c r="AU13" s="98" t="s">
        <v>105</v>
      </c>
      <c r="AV13" s="98">
        <v>4.7569999999999997</v>
      </c>
      <c r="AX13" s="98" t="s">
        <v>19</v>
      </c>
      <c r="AY13" s="108">
        <f>(AY12*AV9)</f>
        <v>2000000</v>
      </c>
      <c r="BA13" s="109" t="s">
        <v>20</v>
      </c>
      <c r="BB13" s="110">
        <v>0</v>
      </c>
      <c r="BI13" s="98" t="s">
        <v>114</v>
      </c>
      <c r="BJ13" s="107">
        <v>1.5E-3</v>
      </c>
      <c r="BL13" s="98" t="s">
        <v>24</v>
      </c>
      <c r="BM13" s="106">
        <v>1.2</v>
      </c>
      <c r="BO13" s="111" t="s">
        <v>25</v>
      </c>
      <c r="BP13" s="112">
        <v>-0.25</v>
      </c>
    </row>
    <row r="14" spans="1:68">
      <c r="A14" s="45"/>
      <c r="B14" s="48" t="s">
        <v>121</v>
      </c>
      <c r="C14" s="48">
        <v>102</v>
      </c>
      <c r="D14" s="50" t="s">
        <v>122</v>
      </c>
      <c r="E14" s="48" t="s">
        <v>27</v>
      </c>
      <c r="F14" s="54">
        <f>C9*12</f>
        <v>57600</v>
      </c>
      <c r="G14" s="45"/>
      <c r="H14" s="58" t="s">
        <v>28</v>
      </c>
      <c r="I14" s="59">
        <v>-0.35</v>
      </c>
      <c r="J14" s="50" t="s">
        <v>123</v>
      </c>
      <c r="K14" s="45"/>
      <c r="L14" s="45"/>
      <c r="M14" s="45"/>
      <c r="N14" s="45"/>
      <c r="O14" s="45"/>
      <c r="P14" s="48"/>
      <c r="Q14" s="54"/>
      <c r="R14" s="45"/>
      <c r="S14" s="56"/>
      <c r="T14" s="57"/>
      <c r="U14" s="45"/>
      <c r="Y14" s="113" t="s">
        <v>121</v>
      </c>
      <c r="Z14" s="113">
        <v>102</v>
      </c>
      <c r="AB14" s="98" t="s">
        <v>27</v>
      </c>
      <c r="AC14" s="106">
        <f>Z9*12</f>
        <v>60000</v>
      </c>
      <c r="AE14" s="114" t="s">
        <v>28</v>
      </c>
      <c r="AF14" s="115">
        <v>-0.35</v>
      </c>
      <c r="AJ14" s="98" t="s">
        <v>17</v>
      </c>
      <c r="AK14" s="98" t="s">
        <v>118</v>
      </c>
      <c r="AM14" s="98" t="s">
        <v>27</v>
      </c>
      <c r="AN14" s="106">
        <f>AK9*12</f>
        <v>36000</v>
      </c>
      <c r="AP14" s="111" t="s">
        <v>124</v>
      </c>
      <c r="AQ14" s="112">
        <v>-0.2</v>
      </c>
      <c r="AU14" s="98" t="s">
        <v>114</v>
      </c>
      <c r="AV14" s="107">
        <v>1.5E-3</v>
      </c>
      <c r="AX14" s="98" t="s">
        <v>24</v>
      </c>
      <c r="AY14" s="106">
        <v>1</v>
      </c>
      <c r="BA14" s="111" t="s">
        <v>25</v>
      </c>
      <c r="BB14" s="112">
        <v>-0.25</v>
      </c>
      <c r="BI14" s="98" t="s">
        <v>17</v>
      </c>
      <c r="BJ14" s="98" t="s">
        <v>118</v>
      </c>
      <c r="BL14" s="98" t="s">
        <v>27</v>
      </c>
      <c r="BM14" s="106">
        <f>BJ9*12</f>
        <v>30000</v>
      </c>
      <c r="BO14" s="111" t="s">
        <v>124</v>
      </c>
      <c r="BP14" s="112"/>
    </row>
    <row r="15" spans="1:68">
      <c r="A15" s="45"/>
      <c r="B15" s="60" t="s">
        <v>12</v>
      </c>
      <c r="C15" s="50" t="s">
        <v>10</v>
      </c>
      <c r="D15" s="50" t="s">
        <v>125</v>
      </c>
      <c r="E15" s="48" t="s">
        <v>30</v>
      </c>
      <c r="F15" s="54">
        <f>F14*1%</f>
        <v>576</v>
      </c>
      <c r="G15" s="45"/>
      <c r="H15" s="48" t="s">
        <v>12</v>
      </c>
      <c r="I15" s="54" t="s">
        <v>126</v>
      </c>
      <c r="J15" s="50" t="s">
        <v>127</v>
      </c>
      <c r="K15" s="45"/>
      <c r="L15" s="45"/>
      <c r="M15" s="45"/>
      <c r="N15" s="45"/>
      <c r="O15" s="45"/>
      <c r="P15" s="48"/>
      <c r="Q15" s="54"/>
      <c r="R15" s="45"/>
      <c r="S15" s="56"/>
      <c r="T15" s="57"/>
      <c r="U15" s="45"/>
      <c r="Y15" s="98" t="s">
        <v>12</v>
      </c>
      <c r="Z15" s="102" t="s">
        <v>128</v>
      </c>
      <c r="AB15" s="98" t="s">
        <v>30</v>
      </c>
      <c r="AC15" s="106">
        <f>AC14*0.01</f>
        <v>600</v>
      </c>
      <c r="AE15" s="98" t="s">
        <v>12</v>
      </c>
      <c r="AF15" s="106" t="s">
        <v>126</v>
      </c>
      <c r="AJ15" s="98" t="s">
        <v>121</v>
      </c>
      <c r="AK15" s="98">
        <v>102</v>
      </c>
      <c r="AM15" s="98" t="s">
        <v>30</v>
      </c>
      <c r="AN15" s="106">
        <f>AN14*0.01</f>
        <v>360</v>
      </c>
      <c r="AP15" s="111" t="s">
        <v>12</v>
      </c>
      <c r="AQ15" s="112">
        <v>-0.15</v>
      </c>
      <c r="AU15" s="98" t="s">
        <v>17</v>
      </c>
      <c r="AV15" s="98" t="s">
        <v>118</v>
      </c>
      <c r="AX15" s="98" t="s">
        <v>27</v>
      </c>
      <c r="AY15" s="106">
        <f>AV10*12</f>
        <v>36000</v>
      </c>
      <c r="BA15" s="111" t="s">
        <v>124</v>
      </c>
      <c r="BB15" s="112">
        <v>-0.35</v>
      </c>
      <c r="BI15" s="98" t="s">
        <v>121</v>
      </c>
      <c r="BJ15" s="98">
        <v>102</v>
      </c>
      <c r="BL15" s="98" t="s">
        <v>30</v>
      </c>
      <c r="BM15" s="106">
        <f>BM14*0.01</f>
        <v>300</v>
      </c>
      <c r="BO15" s="111" t="s">
        <v>12</v>
      </c>
      <c r="BP15" s="112">
        <v>0</v>
      </c>
    </row>
    <row r="16" spans="1:68">
      <c r="A16" s="45"/>
      <c r="B16" s="60"/>
      <c r="C16" s="45"/>
      <c r="D16" s="50" t="s">
        <v>129</v>
      </c>
      <c r="E16" s="48" t="s">
        <v>33</v>
      </c>
      <c r="F16" s="54">
        <v>59400</v>
      </c>
      <c r="G16" s="45"/>
      <c r="H16" s="48" t="s">
        <v>34</v>
      </c>
      <c r="I16" s="54">
        <v>0.5</v>
      </c>
      <c r="J16" s="50" t="s">
        <v>130</v>
      </c>
      <c r="K16" s="45"/>
      <c r="L16" s="45"/>
      <c r="M16" s="45"/>
      <c r="N16" s="45"/>
      <c r="O16" s="45"/>
      <c r="P16" s="48"/>
      <c r="Q16" s="54"/>
      <c r="R16" s="45"/>
      <c r="S16" s="56"/>
      <c r="T16" s="57"/>
      <c r="U16" s="50" t="s">
        <v>35</v>
      </c>
      <c r="Y16" s="116"/>
      <c r="AB16" s="113" t="s">
        <v>33</v>
      </c>
      <c r="AC16" s="117">
        <f>AC14-AC15</f>
        <v>59400</v>
      </c>
      <c r="AE16" s="98" t="s">
        <v>34</v>
      </c>
      <c r="AF16" s="106">
        <v>0.5</v>
      </c>
      <c r="AM16" s="98" t="s">
        <v>33</v>
      </c>
      <c r="AN16" s="106">
        <f>AN14-AN15</f>
        <v>35640</v>
      </c>
      <c r="AP16" s="111" t="s">
        <v>34</v>
      </c>
      <c r="AQ16" s="112">
        <v>0.5</v>
      </c>
      <c r="AR16" s="89" t="s">
        <v>35</v>
      </c>
      <c r="AU16" s="98" t="s">
        <v>121</v>
      </c>
      <c r="AV16" s="98">
        <v>102</v>
      </c>
      <c r="AX16" s="98" t="s">
        <v>30</v>
      </c>
      <c r="AY16" s="106">
        <f>AY15*0.01</f>
        <v>360</v>
      </c>
      <c r="BA16" s="111" t="s">
        <v>12</v>
      </c>
      <c r="BB16" s="112"/>
      <c r="BL16" s="98" t="s">
        <v>33</v>
      </c>
      <c r="BM16" s="106">
        <f>BM14-BM15</f>
        <v>29700</v>
      </c>
      <c r="BO16" s="111" t="s">
        <v>34</v>
      </c>
      <c r="BP16" s="112">
        <v>0.5</v>
      </c>
    </row>
    <row r="17" spans="1:68">
      <c r="A17" s="45"/>
      <c r="B17" s="45"/>
      <c r="C17" s="45"/>
      <c r="E17" s="50" t="s">
        <v>36</v>
      </c>
      <c r="F17" s="50">
        <v>59400</v>
      </c>
      <c r="G17" s="45"/>
      <c r="H17" s="48" t="s">
        <v>24</v>
      </c>
      <c r="I17" s="54">
        <v>-0.6</v>
      </c>
      <c r="J17" s="50" t="s">
        <v>131</v>
      </c>
      <c r="K17" s="45"/>
      <c r="L17" s="45"/>
      <c r="M17" s="45"/>
      <c r="N17" s="45"/>
      <c r="O17" s="45"/>
      <c r="P17" s="61"/>
      <c r="Q17" s="61"/>
      <c r="R17" s="62"/>
      <c r="S17" s="56"/>
      <c r="T17" s="57"/>
      <c r="U17" s="45"/>
      <c r="AB17" s="102" t="s">
        <v>36</v>
      </c>
      <c r="AC17" s="102">
        <f>IF(AC13=1,AC44,AC43)</f>
        <v>59400</v>
      </c>
      <c r="AE17" s="98" t="s">
        <v>24</v>
      </c>
      <c r="AF17" s="106">
        <v>-0.6</v>
      </c>
      <c r="AM17" s="102" t="s">
        <v>36</v>
      </c>
      <c r="AN17" s="102">
        <f>IF(AN13=1,AN44,AN43)</f>
        <v>35640</v>
      </c>
      <c r="AO17" s="118"/>
      <c r="AP17" s="111" t="s">
        <v>24</v>
      </c>
      <c r="AQ17" s="112">
        <v>-0.3</v>
      </c>
      <c r="AX17" s="98" t="s">
        <v>33</v>
      </c>
      <c r="AY17" s="106">
        <f>AY15-AY16</f>
        <v>35640</v>
      </c>
      <c r="BA17" s="111" t="s">
        <v>34</v>
      </c>
      <c r="BB17" s="112">
        <v>0.5</v>
      </c>
      <c r="BC17" s="89" t="s">
        <v>35</v>
      </c>
      <c r="BL17" s="102" t="s">
        <v>36</v>
      </c>
      <c r="BM17" s="102">
        <f>IF(BM13=1,BM44,BM43)</f>
        <v>24750</v>
      </c>
      <c r="BN17" s="118"/>
      <c r="BO17" s="111" t="s">
        <v>24</v>
      </c>
      <c r="BP17" s="112">
        <v>-0.5</v>
      </c>
    </row>
    <row r="18" spans="1:68">
      <c r="A18" s="45"/>
      <c r="B18" s="45"/>
      <c r="C18" s="45"/>
      <c r="D18" s="50" t="s">
        <v>132</v>
      </c>
      <c r="E18" s="48" t="s">
        <v>37</v>
      </c>
      <c r="F18" s="51">
        <v>0.53939999999999999</v>
      </c>
      <c r="G18" s="45"/>
      <c r="H18" s="48" t="s">
        <v>38</v>
      </c>
      <c r="I18" s="54">
        <v>0</v>
      </c>
      <c r="J18" s="63" t="s">
        <v>133</v>
      </c>
      <c r="K18" s="45"/>
      <c r="L18" s="45"/>
      <c r="M18" s="45"/>
      <c r="N18" s="45"/>
      <c r="O18" s="45"/>
      <c r="P18" s="48"/>
      <c r="Q18" s="51"/>
      <c r="R18" s="45"/>
      <c r="S18" s="48"/>
      <c r="T18" s="54"/>
      <c r="U18" s="45"/>
      <c r="AB18" s="114" t="s">
        <v>37</v>
      </c>
      <c r="AC18" s="119">
        <f>AC24/Z8</f>
        <v>0.53937120156196072</v>
      </c>
      <c r="AE18" s="98" t="s">
        <v>38</v>
      </c>
      <c r="AF18" s="106">
        <v>0</v>
      </c>
      <c r="AM18" s="98" t="s">
        <v>37</v>
      </c>
      <c r="AN18" s="101">
        <f>AN24/AK8</f>
        <v>0.16283203204739721</v>
      </c>
      <c r="AP18" s="98" t="s">
        <v>38</v>
      </c>
      <c r="AQ18" s="106">
        <v>0</v>
      </c>
      <c r="AX18" s="102" t="s">
        <v>36</v>
      </c>
      <c r="AY18" s="102">
        <f>IF(AY14=1,AY45,AY44)</f>
        <v>35640</v>
      </c>
      <c r="AZ18" s="118"/>
      <c r="BA18" s="111" t="s">
        <v>24</v>
      </c>
      <c r="BB18" s="112">
        <v>-0.6</v>
      </c>
      <c r="BL18" s="98" t="s">
        <v>37</v>
      </c>
      <c r="BM18" s="101">
        <f>BM24/BJ8</f>
        <v>0.12257747949652684</v>
      </c>
      <c r="BO18" s="98" t="s">
        <v>38</v>
      </c>
      <c r="BP18" s="106">
        <v>0</v>
      </c>
    </row>
    <row r="19" spans="1:68" ht="45.75">
      <c r="A19" s="307"/>
      <c r="B19" s="307"/>
      <c r="C19" s="307"/>
      <c r="D19" s="308" t="s">
        <v>134</v>
      </c>
      <c r="E19" s="298" t="s">
        <v>135</v>
      </c>
      <c r="F19" s="302">
        <v>3.8969999999999998E-2</v>
      </c>
      <c r="G19" s="309"/>
      <c r="H19" s="298" t="s">
        <v>40</v>
      </c>
      <c r="I19" s="295">
        <v>-0.3</v>
      </c>
      <c r="J19" s="63" t="s">
        <v>136</v>
      </c>
      <c r="K19" s="307"/>
      <c r="L19" s="307"/>
      <c r="M19" s="307"/>
      <c r="N19" s="307"/>
      <c r="O19" s="310"/>
      <c r="P19" s="298"/>
      <c r="Q19" s="295"/>
      <c r="R19" s="309"/>
      <c r="S19" s="298"/>
      <c r="T19" s="295"/>
      <c r="U19" s="311"/>
      <c r="AB19" s="98" t="s">
        <v>135</v>
      </c>
      <c r="AC19" s="106">
        <v>4.165</v>
      </c>
      <c r="AE19" s="98" t="s">
        <v>40</v>
      </c>
      <c r="AF19" s="106">
        <v>-0.3</v>
      </c>
      <c r="AM19" s="98" t="s">
        <v>39</v>
      </c>
      <c r="AN19" s="106">
        <v>4.7569999999999997</v>
      </c>
      <c r="AP19" s="98" t="s">
        <v>40</v>
      </c>
      <c r="AQ19" s="106">
        <v>-0.3</v>
      </c>
      <c r="AX19" s="98" t="s">
        <v>37</v>
      </c>
      <c r="AY19" s="101">
        <f>AY25/AV9</f>
        <v>0.17432182613028743</v>
      </c>
      <c r="BA19" s="98" t="s">
        <v>38</v>
      </c>
      <c r="BB19" s="106"/>
      <c r="BL19" s="98" t="s">
        <v>39</v>
      </c>
      <c r="BM19" s="106">
        <v>4.7569999999999997</v>
      </c>
      <c r="BO19" s="98" t="s">
        <v>40</v>
      </c>
      <c r="BP19" s="106">
        <v>-0.3</v>
      </c>
    </row>
    <row r="20" spans="1:68" ht="30.75">
      <c r="A20" s="307"/>
      <c r="B20" s="307"/>
      <c r="C20" s="307"/>
      <c r="D20" s="308"/>
      <c r="E20" s="301"/>
      <c r="F20" s="303"/>
      <c r="G20" s="309"/>
      <c r="H20" s="301"/>
      <c r="I20" s="296"/>
      <c r="J20" s="63" t="s">
        <v>137</v>
      </c>
      <c r="K20" s="307"/>
      <c r="L20" s="307"/>
      <c r="M20" s="307"/>
      <c r="N20" s="307"/>
      <c r="O20" s="310"/>
      <c r="P20" s="301"/>
      <c r="Q20" s="296"/>
      <c r="R20" s="309"/>
      <c r="S20" s="301"/>
      <c r="T20" s="296"/>
      <c r="U20" s="311"/>
      <c r="AA20" s="120"/>
      <c r="AB20" s="98" t="s">
        <v>138</v>
      </c>
      <c r="AC20" s="106">
        <v>102</v>
      </c>
      <c r="AE20" s="98" t="s">
        <v>42</v>
      </c>
      <c r="AF20" s="98">
        <f>SUM(AF11:AF19:AF19)</f>
        <v>-0.89999999999999991</v>
      </c>
      <c r="AM20" s="98" t="s">
        <v>138</v>
      </c>
      <c r="AN20" s="106">
        <v>102</v>
      </c>
      <c r="AP20" s="98" t="s">
        <v>42</v>
      </c>
      <c r="AQ20" s="98">
        <f>SUM(AQ11:AQ19:AQ19)</f>
        <v>-3.6999999999999997</v>
      </c>
      <c r="AX20" s="98" t="s">
        <v>39</v>
      </c>
      <c r="AY20" s="106">
        <v>4.7569999999999997</v>
      </c>
      <c r="BA20" s="98" t="s">
        <v>40</v>
      </c>
      <c r="BB20" s="106">
        <v>-0.3</v>
      </c>
      <c r="BL20" s="98" t="s">
        <v>138</v>
      </c>
      <c r="BM20" s="106">
        <v>102</v>
      </c>
      <c r="BO20" s="98" t="s">
        <v>42</v>
      </c>
      <c r="BP20" s="98">
        <f>SUM(BP11:BP19)</f>
        <v>-0.55000000000000004</v>
      </c>
    </row>
    <row r="21" spans="1:68" ht="30.75">
      <c r="A21" s="307"/>
      <c r="B21" s="307"/>
      <c r="C21" s="307"/>
      <c r="D21" s="312"/>
      <c r="E21" s="299"/>
      <c r="F21" s="304"/>
      <c r="G21" s="309"/>
      <c r="H21" s="299"/>
      <c r="I21" s="297"/>
      <c r="J21" s="63" t="s">
        <v>139</v>
      </c>
      <c r="K21" s="307"/>
      <c r="L21" s="307"/>
      <c r="M21" s="307"/>
      <c r="N21" s="307"/>
      <c r="O21" s="310"/>
      <c r="P21" s="299"/>
      <c r="Q21" s="297"/>
      <c r="R21" s="309"/>
      <c r="S21" s="299"/>
      <c r="T21" s="297"/>
      <c r="U21" s="311"/>
      <c r="AB21" s="98" t="s">
        <v>43</v>
      </c>
      <c r="AC21" s="121">
        <f>AC20-(AF20)+0.15</f>
        <v>103.05000000000001</v>
      </c>
      <c r="AM21" s="98" t="s">
        <v>43</v>
      </c>
      <c r="AN21" s="121">
        <f>AN20-(AQ20)+0.15</f>
        <v>105.85000000000001</v>
      </c>
      <c r="AX21" s="98" t="s">
        <v>138</v>
      </c>
      <c r="AY21" s="106">
        <v>102</v>
      </c>
      <c r="BA21" s="98" t="s">
        <v>42</v>
      </c>
      <c r="BB21" s="98">
        <f>SUM(BB12:BB20:BB20)</f>
        <v>-1</v>
      </c>
      <c r="BL21" s="98" t="s">
        <v>43</v>
      </c>
      <c r="BM21" s="121">
        <f>BM20-(BP20)+0.15</f>
        <v>102.7</v>
      </c>
    </row>
    <row r="22" spans="1:68">
      <c r="A22" s="45"/>
      <c r="B22" s="45"/>
      <c r="C22" s="45"/>
      <c r="D22" s="48" t="s">
        <v>140</v>
      </c>
      <c r="E22" s="48" t="s">
        <v>138</v>
      </c>
      <c r="F22" s="54">
        <v>102</v>
      </c>
      <c r="G22" s="45"/>
      <c r="H22" s="48" t="s">
        <v>42</v>
      </c>
      <c r="I22" s="48">
        <v>-0.9</v>
      </c>
      <c r="J22" s="45"/>
      <c r="K22" s="45"/>
      <c r="L22" s="45"/>
      <c r="M22" s="45"/>
      <c r="N22" s="45"/>
      <c r="O22" s="45"/>
      <c r="P22" s="48"/>
      <c r="Q22" s="54"/>
      <c r="R22" s="45"/>
      <c r="S22" s="48"/>
      <c r="T22" s="48"/>
      <c r="U22" s="45"/>
      <c r="AB22" s="98" t="s">
        <v>44</v>
      </c>
      <c r="AC22" s="106">
        <v>305</v>
      </c>
      <c r="AM22" s="98" t="s">
        <v>44</v>
      </c>
      <c r="AN22" s="106">
        <v>377.5</v>
      </c>
      <c r="AX22" s="98" t="s">
        <v>43</v>
      </c>
      <c r="AY22" s="121">
        <f>AY21-(BB21)+0.15</f>
        <v>103.15</v>
      </c>
      <c r="BL22" s="98" t="s">
        <v>44</v>
      </c>
      <c r="BM22" s="106">
        <v>295</v>
      </c>
    </row>
    <row r="23" spans="1:68">
      <c r="A23" s="45"/>
      <c r="B23" s="45"/>
      <c r="C23" s="45"/>
      <c r="D23" s="50" t="s">
        <v>141</v>
      </c>
      <c r="E23" s="48" t="s">
        <v>43</v>
      </c>
      <c r="F23" s="65">
        <v>103.05</v>
      </c>
      <c r="G23" s="45"/>
      <c r="H23" s="45"/>
      <c r="I23" s="45"/>
      <c r="J23" s="45"/>
      <c r="K23" s="45"/>
      <c r="L23" s="45"/>
      <c r="M23" s="45"/>
      <c r="N23" s="45"/>
      <c r="O23" s="290"/>
      <c r="P23" s="70"/>
      <c r="Q23" s="71"/>
      <c r="R23" s="45"/>
      <c r="S23" s="45"/>
      <c r="T23" s="45"/>
      <c r="U23" s="45"/>
      <c r="AB23" s="98" t="s">
        <v>45</v>
      </c>
      <c r="AC23" s="122">
        <f>4.165%+(AC22/10000)</f>
        <v>7.2149999999999992E-2</v>
      </c>
      <c r="AM23" s="98" t="s">
        <v>45</v>
      </c>
      <c r="AN23" s="101">
        <f>4.165%+(AN22/10000)</f>
        <v>7.9399999999999998E-2</v>
      </c>
      <c r="AX23" s="98" t="s">
        <v>44</v>
      </c>
      <c r="AY23" s="106">
        <v>307.5</v>
      </c>
      <c r="BL23" s="98" t="s">
        <v>45</v>
      </c>
      <c r="BM23" s="101">
        <f>4.165%+(BM22/10000)</f>
        <v>7.1149999999999991E-2</v>
      </c>
    </row>
    <row r="24" spans="1:68" ht="30.75">
      <c r="A24" s="45"/>
      <c r="B24" s="45"/>
      <c r="C24" s="45"/>
      <c r="D24" s="63" t="s">
        <v>142</v>
      </c>
      <c r="E24" s="48" t="s">
        <v>44</v>
      </c>
      <c r="F24" s="54">
        <v>305</v>
      </c>
      <c r="G24" s="45"/>
      <c r="H24" s="45"/>
      <c r="I24" s="45"/>
      <c r="J24" s="45"/>
      <c r="K24" s="45"/>
      <c r="L24" s="45"/>
      <c r="M24" s="45"/>
      <c r="N24" s="45"/>
      <c r="O24" s="290"/>
      <c r="P24" s="72"/>
      <c r="Q24" s="73"/>
      <c r="R24" s="45"/>
      <c r="S24" s="45"/>
      <c r="T24" s="45"/>
      <c r="U24" s="45"/>
      <c r="AB24" s="98" t="s">
        <v>46</v>
      </c>
      <c r="AC24" s="123">
        <f>-PV(AC23/12,360,AC17/12)</f>
        <v>728151.1221086469</v>
      </c>
      <c r="AM24" s="98" t="s">
        <v>46</v>
      </c>
      <c r="AN24" s="123">
        <f>-PV(AN23/12,360,AN17/12)</f>
        <v>407080.080118493</v>
      </c>
      <c r="AX24" s="98" t="s">
        <v>45</v>
      </c>
      <c r="AY24" s="101">
        <f>4.165%+(AY23/10000)</f>
        <v>7.2399999999999992E-2</v>
      </c>
      <c r="BL24" s="98" t="s">
        <v>46</v>
      </c>
      <c r="BM24" s="123">
        <f>-PV(BM23/12,360,BM17/12)</f>
        <v>306443.69874131709</v>
      </c>
    </row>
    <row r="25" spans="1:68">
      <c r="A25" s="45"/>
      <c r="B25" s="45"/>
      <c r="C25" s="45"/>
      <c r="D25" s="50" t="s">
        <v>143</v>
      </c>
      <c r="E25" s="48" t="s">
        <v>45</v>
      </c>
      <c r="F25" s="283">
        <f>F19+(F24/10000)</f>
        <v>6.9470000000000004E-2</v>
      </c>
      <c r="G25" s="45"/>
      <c r="H25" s="45"/>
      <c r="I25" s="45"/>
      <c r="J25" s="45"/>
      <c r="K25" s="45"/>
      <c r="L25" s="45"/>
      <c r="M25" s="45"/>
      <c r="N25" s="45"/>
      <c r="O25" s="45"/>
      <c r="P25" s="70"/>
      <c r="Q25" s="74"/>
      <c r="R25" s="45"/>
      <c r="S25" s="45"/>
      <c r="T25" s="45"/>
      <c r="U25" s="45"/>
      <c r="AB25" s="98" t="s">
        <v>47</v>
      </c>
      <c r="AC25" s="101">
        <f>AC24/Z8</f>
        <v>0.53937120156196072</v>
      </c>
      <c r="AD25" s="124"/>
      <c r="AE25" s="89">
        <f>AC16/1.2</f>
        <v>49500</v>
      </c>
      <c r="AM25" s="98" t="s">
        <v>47</v>
      </c>
      <c r="AN25" s="101">
        <f>AN24/AK8</f>
        <v>0.16283203204739721</v>
      </c>
      <c r="AP25" s="89">
        <f>AN16/1.2</f>
        <v>29700</v>
      </c>
      <c r="AX25" s="98" t="s">
        <v>46</v>
      </c>
      <c r="AY25" s="123">
        <f>-PV(AY24/12,360,AY18/12)</f>
        <v>435804.56532571861</v>
      </c>
      <c r="BL25" s="98" t="s">
        <v>47</v>
      </c>
      <c r="BM25" s="101">
        <f>BM24/BJ8</f>
        <v>0.12257747949652684</v>
      </c>
      <c r="BO25" s="89">
        <f>BM16/1.2</f>
        <v>24750</v>
      </c>
    </row>
    <row r="26" spans="1:68">
      <c r="A26" s="307"/>
      <c r="B26" s="307"/>
      <c r="C26" s="307"/>
      <c r="D26" s="63" t="s">
        <v>144</v>
      </c>
      <c r="E26" s="298" t="s">
        <v>46</v>
      </c>
      <c r="F26" s="300">
        <v>728151.12</v>
      </c>
      <c r="G26" s="311"/>
      <c r="H26" s="307"/>
      <c r="I26" s="307"/>
      <c r="J26" s="307"/>
      <c r="K26" s="307"/>
      <c r="L26" s="307"/>
      <c r="M26" s="307"/>
      <c r="N26" s="307"/>
      <c r="O26" s="310"/>
      <c r="P26" s="291"/>
      <c r="Q26" s="293"/>
      <c r="R26" s="311"/>
      <c r="S26" s="307"/>
      <c r="T26" s="307"/>
      <c r="U26" s="307"/>
      <c r="AB26" s="125"/>
      <c r="AM26" s="125"/>
      <c r="AX26" s="98" t="s">
        <v>47</v>
      </c>
      <c r="AY26" s="101">
        <f>AY25/AV9</f>
        <v>0.17432182613028743</v>
      </c>
      <c r="BA26" s="89">
        <f>AY17/1.2</f>
        <v>29700</v>
      </c>
      <c r="BL26" s="125"/>
    </row>
    <row r="27" spans="1:68" ht="30.75">
      <c r="A27" s="307"/>
      <c r="B27" s="307"/>
      <c r="C27" s="307"/>
      <c r="D27" s="63" t="s">
        <v>145</v>
      </c>
      <c r="E27" s="299"/>
      <c r="F27" s="297"/>
      <c r="G27" s="311"/>
      <c r="H27" s="307"/>
      <c r="I27" s="307"/>
      <c r="J27" s="307"/>
      <c r="K27" s="307"/>
      <c r="L27" s="307"/>
      <c r="M27" s="307"/>
      <c r="N27" s="307"/>
      <c r="O27" s="310"/>
      <c r="P27" s="292"/>
      <c r="Q27" s="294"/>
      <c r="R27" s="311"/>
      <c r="S27" s="307"/>
      <c r="T27" s="307"/>
      <c r="U27" s="307"/>
      <c r="AX27" s="125"/>
    </row>
    <row r="28" spans="1:68">
      <c r="A28" s="45"/>
      <c r="B28" s="45"/>
      <c r="C28" s="45"/>
      <c r="D28" s="50" t="s">
        <v>146</v>
      </c>
      <c r="E28" s="48" t="s">
        <v>47</v>
      </c>
      <c r="F28" s="51">
        <v>0.53939999999999999</v>
      </c>
      <c r="G28" s="45"/>
      <c r="H28" s="50">
        <v>49500</v>
      </c>
      <c r="I28" s="45"/>
      <c r="J28" s="45"/>
      <c r="K28" s="45"/>
      <c r="L28" s="45"/>
      <c r="M28" s="45"/>
      <c r="N28" s="45"/>
      <c r="O28" s="45"/>
      <c r="P28" s="70"/>
      <c r="Q28" s="74"/>
      <c r="R28" s="45"/>
      <c r="S28" s="50"/>
      <c r="T28" s="45"/>
      <c r="U28" s="45"/>
      <c r="AB28" s="98" t="s">
        <v>19</v>
      </c>
      <c r="AC28" s="95">
        <f>AC12</f>
        <v>1080000</v>
      </c>
      <c r="AM28" s="98" t="s">
        <v>19</v>
      </c>
      <c r="AN28" s="126">
        <f>AN12</f>
        <v>1750000.0000000002</v>
      </c>
      <c r="BL28" s="98" t="s">
        <v>19</v>
      </c>
      <c r="BM28" s="126">
        <f>BM12</f>
        <v>2000000</v>
      </c>
    </row>
    <row r="29" spans="1:68">
      <c r="A29" s="45"/>
      <c r="B29" s="45"/>
      <c r="C29" s="45"/>
      <c r="D29" s="45"/>
      <c r="E29" s="64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75"/>
      <c r="Q29" s="76"/>
      <c r="R29" s="45"/>
      <c r="S29" s="45"/>
      <c r="T29" s="45"/>
      <c r="U29" s="45"/>
      <c r="AB29" s="98" t="s">
        <v>46</v>
      </c>
      <c r="AC29" s="124">
        <f>AC24</f>
        <v>728151.1221086469</v>
      </c>
      <c r="AM29" s="98" t="s">
        <v>46</v>
      </c>
      <c r="AN29" s="127">
        <f>AN24</f>
        <v>407080.080118493</v>
      </c>
      <c r="AX29" s="98" t="s">
        <v>19</v>
      </c>
      <c r="AY29" s="126">
        <f>AY13</f>
        <v>2000000</v>
      </c>
      <c r="BL29" s="98" t="s">
        <v>46</v>
      </c>
      <c r="BM29" s="127">
        <f>BM24</f>
        <v>306443.69874131709</v>
      </c>
    </row>
    <row r="30" spans="1:68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76"/>
      <c r="Q30" s="76"/>
      <c r="R30" s="45"/>
      <c r="S30" s="45"/>
      <c r="T30" s="45"/>
      <c r="U30" s="45"/>
      <c r="AX30" s="98" t="s">
        <v>46</v>
      </c>
      <c r="AY30" s="127">
        <f>AY25</f>
        <v>435804.56532571861</v>
      </c>
    </row>
    <row r="31" spans="1:68">
      <c r="A31" s="45"/>
      <c r="B31" s="45"/>
      <c r="C31" s="45"/>
      <c r="D31" s="45"/>
      <c r="E31" s="48" t="s">
        <v>19</v>
      </c>
      <c r="F31" s="50" t="s">
        <v>147</v>
      </c>
      <c r="G31" s="45"/>
      <c r="H31" s="45"/>
      <c r="I31" s="45"/>
      <c r="J31" s="45"/>
      <c r="K31" s="45"/>
      <c r="L31" s="45"/>
      <c r="M31" s="45"/>
      <c r="N31" s="45"/>
      <c r="O31" s="45"/>
      <c r="P31" s="70"/>
      <c r="Q31" s="77"/>
      <c r="R31" s="45"/>
      <c r="S31" s="45"/>
      <c r="T31" s="45"/>
      <c r="U31" s="45"/>
      <c r="AB31" s="89" t="s">
        <v>48</v>
      </c>
      <c r="AC31" s="95">
        <f>MIN(AC28:AC29)</f>
        <v>728151.1221086469</v>
      </c>
      <c r="AM31" s="89" t="s">
        <v>48</v>
      </c>
      <c r="AN31" s="95">
        <f>MIN(AN28:AN29)</f>
        <v>407080.080118493</v>
      </c>
      <c r="BL31" s="89" t="s">
        <v>48</v>
      </c>
      <c r="BM31" s="95">
        <f>MIN(BM28:BM29)</f>
        <v>306443.69874131709</v>
      </c>
    </row>
    <row r="32" spans="1:68">
      <c r="A32" s="45"/>
      <c r="B32" s="45"/>
      <c r="C32" s="45"/>
      <c r="D32" s="45"/>
      <c r="E32" s="48" t="s">
        <v>46</v>
      </c>
      <c r="F32" s="50" t="s">
        <v>148</v>
      </c>
      <c r="G32" s="45"/>
      <c r="H32" s="45"/>
      <c r="I32" s="45"/>
      <c r="J32" s="45"/>
      <c r="K32" s="45"/>
      <c r="L32" s="45"/>
      <c r="M32" s="45"/>
      <c r="N32" s="45"/>
      <c r="O32" s="45"/>
      <c r="P32" s="70"/>
      <c r="Q32" s="77"/>
      <c r="R32" s="45"/>
      <c r="S32" s="45"/>
      <c r="T32" s="45"/>
      <c r="U32" s="45"/>
      <c r="AX32" s="89" t="s">
        <v>48</v>
      </c>
      <c r="AY32" s="95">
        <f>MIN(AY29:AY30)</f>
        <v>435804.56532571861</v>
      </c>
    </row>
    <row r="33" spans="1:66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1:66" ht="30.75">
      <c r="A34" s="307"/>
      <c r="B34" s="307"/>
      <c r="C34" s="307"/>
      <c r="D34" s="63" t="s">
        <v>149</v>
      </c>
      <c r="E34" s="313" t="s">
        <v>48</v>
      </c>
      <c r="F34" s="313" t="s">
        <v>148</v>
      </c>
      <c r="G34" s="307"/>
      <c r="H34" s="307"/>
      <c r="I34" s="307"/>
      <c r="J34" s="307"/>
      <c r="K34" s="307"/>
      <c r="L34" s="307"/>
      <c r="M34" s="307"/>
      <c r="N34" s="307"/>
      <c r="O34" s="307"/>
      <c r="P34" s="313"/>
      <c r="Q34" s="313"/>
      <c r="R34" s="307"/>
      <c r="S34" s="307"/>
      <c r="T34" s="307"/>
      <c r="U34" s="307"/>
      <c r="AB34" s="128" t="s">
        <v>150</v>
      </c>
      <c r="AC34" s="102"/>
      <c r="AD34" s="102"/>
    </row>
    <row r="35" spans="1:66">
      <c r="A35" s="307"/>
      <c r="B35" s="307"/>
      <c r="C35" s="307"/>
      <c r="D35" s="63" t="s">
        <v>151</v>
      </c>
      <c r="E35" s="313"/>
      <c r="F35" s="313"/>
      <c r="G35" s="307"/>
      <c r="H35" s="307"/>
      <c r="I35" s="307"/>
      <c r="J35" s="307"/>
      <c r="K35" s="307"/>
      <c r="L35" s="307"/>
      <c r="M35" s="307"/>
      <c r="N35" s="307"/>
      <c r="O35" s="307"/>
      <c r="P35" s="313"/>
      <c r="Q35" s="313"/>
      <c r="R35" s="307"/>
      <c r="S35" s="307"/>
      <c r="T35" s="307"/>
      <c r="U35" s="307"/>
      <c r="AB35" s="102" t="s">
        <v>152</v>
      </c>
      <c r="AC35" s="102"/>
      <c r="AD35" s="102"/>
      <c r="AM35" s="314" t="s">
        <v>152</v>
      </c>
      <c r="AN35" s="315"/>
      <c r="BL35" s="314" t="s">
        <v>152</v>
      </c>
      <c r="BM35" s="315"/>
    </row>
    <row r="36" spans="1:66">
      <c r="A36" s="307"/>
      <c r="B36" s="307"/>
      <c r="C36" s="307"/>
      <c r="D36" s="63" t="s">
        <v>46</v>
      </c>
      <c r="E36" s="313"/>
      <c r="F36" s="313"/>
      <c r="G36" s="307"/>
      <c r="H36" s="307"/>
      <c r="I36" s="307"/>
      <c r="J36" s="307"/>
      <c r="K36" s="307"/>
      <c r="L36" s="307"/>
      <c r="M36" s="307"/>
      <c r="N36" s="307"/>
      <c r="O36" s="307"/>
      <c r="P36" s="313"/>
      <c r="Q36" s="313"/>
      <c r="R36" s="307"/>
      <c r="S36" s="307"/>
      <c r="T36" s="307"/>
      <c r="U36" s="307"/>
      <c r="AB36" s="102" t="s">
        <v>48</v>
      </c>
      <c r="AC36" s="126">
        <f>AC31</f>
        <v>728151.1221086469</v>
      </c>
      <c r="AD36" s="102"/>
      <c r="AM36" s="129" t="s">
        <v>48</v>
      </c>
      <c r="AN36" s="130">
        <f>AN31</f>
        <v>407080.080118493</v>
      </c>
      <c r="AX36" s="314" t="s">
        <v>152</v>
      </c>
      <c r="AY36" s="315"/>
      <c r="BL36" s="129" t="s">
        <v>48</v>
      </c>
      <c r="BM36" s="130">
        <f>BM31</f>
        <v>306443.69874131709</v>
      </c>
    </row>
    <row r="37" spans="1:66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AB37" s="102" t="s">
        <v>51</v>
      </c>
      <c r="AC37" s="131">
        <f>AC31/Z8</f>
        <v>0.53937120156196072</v>
      </c>
      <c r="AD37" s="102"/>
      <c r="AM37" s="102" t="s">
        <v>51</v>
      </c>
      <c r="AN37" s="131">
        <f>AN31/AK8</f>
        <v>0.16283203204739721</v>
      </c>
      <c r="AX37" s="129" t="s">
        <v>48</v>
      </c>
      <c r="AY37" s="130">
        <f>AY32</f>
        <v>435804.56532571861</v>
      </c>
      <c r="BL37" s="102" t="s">
        <v>51</v>
      </c>
      <c r="BM37" s="131">
        <f>BM31/BJ8</f>
        <v>0.12257747949652684</v>
      </c>
    </row>
    <row r="38" spans="1:66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AB38" s="102" t="s">
        <v>37</v>
      </c>
      <c r="AC38" s="131">
        <f>AC31/Z8</f>
        <v>0.53937120156196072</v>
      </c>
      <c r="AD38" s="102"/>
      <c r="AM38" s="102" t="s">
        <v>37</v>
      </c>
      <c r="AN38" s="131">
        <f>AN31/AK8</f>
        <v>0.16283203204739721</v>
      </c>
      <c r="AS38" s="95"/>
      <c r="AX38" s="102" t="s">
        <v>51</v>
      </c>
      <c r="AY38" s="131">
        <f>AY32/AV9</f>
        <v>0.17432182613028743</v>
      </c>
      <c r="BL38" s="102" t="s">
        <v>37</v>
      </c>
      <c r="BM38" s="131">
        <f>BM31/BJ8</f>
        <v>0.12257747949652684</v>
      </c>
    </row>
    <row r="39" spans="1:66">
      <c r="A39" s="45"/>
      <c r="B39" s="45"/>
      <c r="C39" s="45"/>
      <c r="D39" s="45"/>
      <c r="E39" s="66" t="s">
        <v>150</v>
      </c>
      <c r="F39" s="61"/>
      <c r="G39" s="61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AB39" s="102" t="s">
        <v>52</v>
      </c>
      <c r="AC39" s="132">
        <f>AC23</f>
        <v>7.2149999999999992E-2</v>
      </c>
      <c r="AD39" s="132">
        <f>AC39+0.3%</f>
        <v>7.5149999999999995E-2</v>
      </c>
      <c r="AM39" s="102" t="s">
        <v>52</v>
      </c>
      <c r="AN39" s="132">
        <f>AN23</f>
        <v>7.9399999999999998E-2</v>
      </c>
      <c r="AO39" s="100">
        <f>AN39+0.3%</f>
        <v>8.2400000000000001E-2</v>
      </c>
      <c r="AX39" s="102" t="s">
        <v>37</v>
      </c>
      <c r="AY39" s="131">
        <f>AY32/AV9</f>
        <v>0.17432182613028743</v>
      </c>
      <c r="BL39" s="102" t="s">
        <v>52</v>
      </c>
      <c r="BM39" s="132">
        <f>BM23</f>
        <v>7.1149999999999991E-2</v>
      </c>
      <c r="BN39" s="100">
        <f>BM39+0.3%</f>
        <v>7.4149999999999994E-2</v>
      </c>
    </row>
    <row r="40" spans="1:66">
      <c r="A40" s="45"/>
      <c r="B40" s="45"/>
      <c r="C40" s="45"/>
      <c r="D40" s="45"/>
      <c r="E40" s="61" t="s">
        <v>49</v>
      </c>
      <c r="F40" s="61"/>
      <c r="G40" s="61"/>
      <c r="H40" s="45"/>
      <c r="I40" s="45"/>
      <c r="J40" s="45"/>
      <c r="K40" s="45"/>
      <c r="L40" s="45"/>
      <c r="M40" s="45"/>
      <c r="N40" s="45"/>
      <c r="O40" s="45"/>
      <c r="P40" s="316"/>
      <c r="Q40" s="317"/>
      <c r="R40" s="45"/>
      <c r="S40" s="45"/>
      <c r="T40" s="45"/>
      <c r="U40" s="45"/>
      <c r="AB40" s="102" t="s">
        <v>53</v>
      </c>
      <c r="AC40" s="102">
        <v>360</v>
      </c>
      <c r="AD40" s="102"/>
      <c r="AM40" s="102" t="s">
        <v>53</v>
      </c>
      <c r="AN40" s="102">
        <v>360</v>
      </c>
      <c r="AX40" s="102" t="s">
        <v>52</v>
      </c>
      <c r="AY40" s="132">
        <f>AY24</f>
        <v>7.2399999999999992E-2</v>
      </c>
      <c r="AZ40" s="100">
        <f>AY40+0.3%</f>
        <v>7.5399999999999995E-2</v>
      </c>
      <c r="BL40" s="102" t="s">
        <v>53</v>
      </c>
      <c r="BM40" s="102">
        <v>360</v>
      </c>
    </row>
    <row r="41" spans="1:66">
      <c r="A41" s="45"/>
      <c r="B41" s="45"/>
      <c r="C41" s="45"/>
      <c r="D41" s="45"/>
      <c r="E41" s="61" t="s">
        <v>50</v>
      </c>
      <c r="F41" s="61" t="s">
        <v>148</v>
      </c>
      <c r="G41" s="61"/>
      <c r="H41" s="45"/>
      <c r="I41" s="45"/>
      <c r="J41" s="45"/>
      <c r="K41" s="45"/>
      <c r="L41" s="45"/>
      <c r="M41" s="45"/>
      <c r="N41" s="45"/>
      <c r="O41" s="45"/>
      <c r="P41" s="67"/>
      <c r="Q41" s="67"/>
      <c r="R41" s="45"/>
      <c r="S41" s="45"/>
      <c r="T41" s="45"/>
      <c r="U41" s="45"/>
      <c r="AX41" s="102" t="s">
        <v>53</v>
      </c>
      <c r="AY41" s="102">
        <v>360</v>
      </c>
    </row>
    <row r="42" spans="1:66">
      <c r="A42" s="45"/>
      <c r="B42" s="45"/>
      <c r="C42" s="45"/>
      <c r="D42" s="45"/>
      <c r="E42" s="61" t="s">
        <v>51</v>
      </c>
      <c r="F42" s="68">
        <v>0.53939999999999999</v>
      </c>
      <c r="G42" s="61"/>
      <c r="H42" s="45"/>
      <c r="I42" s="45"/>
      <c r="J42" s="45"/>
      <c r="K42" s="45"/>
      <c r="L42" s="45"/>
      <c r="M42" s="45"/>
      <c r="N42" s="45"/>
      <c r="O42" s="45"/>
      <c r="P42" s="61"/>
      <c r="Q42" s="68"/>
      <c r="R42" s="45"/>
      <c r="S42" s="45"/>
      <c r="T42" s="45"/>
      <c r="U42" s="45"/>
    </row>
    <row r="43" spans="1:66">
      <c r="A43" s="45"/>
      <c r="B43" s="45"/>
      <c r="C43" s="45"/>
      <c r="D43" s="45"/>
      <c r="E43" s="61" t="s">
        <v>37</v>
      </c>
      <c r="F43" s="68">
        <v>0.53939999999999999</v>
      </c>
      <c r="G43" s="61"/>
      <c r="H43" s="45"/>
      <c r="I43" s="45"/>
      <c r="J43" s="45"/>
      <c r="K43" s="45"/>
      <c r="L43" s="45"/>
      <c r="M43" s="45"/>
      <c r="N43" s="45"/>
      <c r="O43" s="45"/>
      <c r="P43" s="61"/>
      <c r="Q43" s="68"/>
      <c r="R43" s="45"/>
      <c r="S43" s="45"/>
      <c r="T43" s="45"/>
      <c r="U43" s="45"/>
      <c r="AB43" s="89" t="s">
        <v>54</v>
      </c>
      <c r="AC43" s="89">
        <f>AC16/1.2</f>
        <v>49500</v>
      </c>
      <c r="AM43" s="89" t="s">
        <v>54</v>
      </c>
      <c r="AN43" s="89">
        <f>AN16/1.2</f>
        <v>29700</v>
      </c>
      <c r="BL43" s="89" t="s">
        <v>54</v>
      </c>
      <c r="BM43" s="89">
        <f>BM16/1.2</f>
        <v>24750</v>
      </c>
    </row>
    <row r="44" spans="1:66">
      <c r="A44" s="45"/>
      <c r="B44" s="45"/>
      <c r="C44" s="45"/>
      <c r="D44" s="45"/>
      <c r="E44" s="61" t="s">
        <v>52</v>
      </c>
      <c r="F44" s="68">
        <v>7.22E-2</v>
      </c>
      <c r="G44" s="68">
        <v>7.5200000000000003E-2</v>
      </c>
      <c r="H44" s="45"/>
      <c r="I44" s="45"/>
      <c r="J44" s="45"/>
      <c r="K44" s="45"/>
      <c r="L44" s="45"/>
      <c r="M44" s="45"/>
      <c r="N44" s="45"/>
      <c r="O44" s="45"/>
      <c r="P44" s="61"/>
      <c r="Q44" s="68"/>
      <c r="R44" s="69"/>
      <c r="S44" s="45"/>
      <c r="T44" s="45"/>
      <c r="U44" s="45"/>
      <c r="AB44" s="89" t="s">
        <v>55</v>
      </c>
      <c r="AC44" s="89">
        <f>AC16/1</f>
        <v>59400</v>
      </c>
      <c r="AM44" s="89" t="s">
        <v>55</v>
      </c>
      <c r="AN44" s="89">
        <f>AN16/1</f>
        <v>35640</v>
      </c>
      <c r="AX44" s="89" t="s">
        <v>54</v>
      </c>
      <c r="AY44" s="89">
        <f>AY17/1.2</f>
        <v>29700</v>
      </c>
      <c r="BL44" s="89" t="s">
        <v>55</v>
      </c>
      <c r="BM44" s="89">
        <f>BM16/1</f>
        <v>29700</v>
      </c>
    </row>
    <row r="45" spans="1:66">
      <c r="A45" s="45"/>
      <c r="B45" s="45"/>
      <c r="C45" s="45"/>
      <c r="D45" s="45"/>
      <c r="E45" s="61" t="s">
        <v>53</v>
      </c>
      <c r="F45" s="61">
        <v>360</v>
      </c>
      <c r="G45" s="61"/>
      <c r="H45" s="45"/>
      <c r="I45" s="45"/>
      <c r="J45" s="45"/>
      <c r="K45" s="45"/>
      <c r="L45" s="45"/>
      <c r="M45" s="45"/>
      <c r="N45" s="45"/>
      <c r="O45" s="45"/>
      <c r="P45" s="61"/>
      <c r="Q45" s="61"/>
      <c r="R45" s="45"/>
      <c r="S45" s="45"/>
      <c r="T45" s="45"/>
      <c r="U45" s="45"/>
      <c r="AX45" s="89" t="s">
        <v>55</v>
      </c>
      <c r="AY45" s="89">
        <f>AY17/1</f>
        <v>35640</v>
      </c>
    </row>
    <row r="46" spans="1:6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</row>
    <row r="47" spans="1:66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</row>
    <row r="48" spans="1:66">
      <c r="A48" s="45"/>
      <c r="B48" s="45"/>
      <c r="C48" s="45"/>
      <c r="D48" s="50" t="s">
        <v>153</v>
      </c>
      <c r="E48" s="50" t="s">
        <v>54</v>
      </c>
      <c r="F48" s="50">
        <v>49500</v>
      </c>
      <c r="G48" s="45"/>
      <c r="H48" s="45"/>
      <c r="I48" s="45"/>
      <c r="J48" s="45"/>
      <c r="K48" s="45"/>
      <c r="L48" s="45"/>
      <c r="M48" s="45"/>
      <c r="N48" s="45"/>
      <c r="O48" s="45"/>
      <c r="P48" s="50"/>
      <c r="Q48" s="50"/>
      <c r="R48" s="45"/>
      <c r="S48" s="45"/>
      <c r="T48" s="45"/>
      <c r="U48" s="45"/>
    </row>
    <row r="49" spans="1:21">
      <c r="A49" s="45"/>
      <c r="B49" s="45"/>
      <c r="C49" s="45"/>
      <c r="D49" s="50" t="s">
        <v>153</v>
      </c>
      <c r="E49" s="50" t="s">
        <v>55</v>
      </c>
      <c r="F49" s="50">
        <v>59400</v>
      </c>
      <c r="G49" s="45"/>
      <c r="H49" s="45"/>
      <c r="I49" s="45"/>
      <c r="J49" s="45"/>
      <c r="K49" s="45"/>
      <c r="L49" s="45"/>
      <c r="M49" s="45"/>
      <c r="N49" s="45"/>
      <c r="O49" s="45"/>
      <c r="P49" s="50"/>
      <c r="Q49" s="50"/>
      <c r="R49" s="45"/>
      <c r="S49" s="45"/>
      <c r="T49" s="45"/>
      <c r="U49" s="45"/>
    </row>
    <row r="50" spans="1:2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 spans="1:2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 spans="1:2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 spans="1:2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</row>
    <row r="54" spans="1:2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</row>
    <row r="55" spans="1:2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</row>
    <row r="56" spans="1:2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</row>
    <row r="57" spans="1:2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 spans="1:2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</row>
  </sheetData>
  <mergeCells count="65">
    <mergeCell ref="F19:F21"/>
    <mergeCell ref="A19:A21"/>
    <mergeCell ref="B19:B21"/>
    <mergeCell ref="C19:C21"/>
    <mergeCell ref="D19:D21"/>
    <mergeCell ref="E19:E21"/>
    <mergeCell ref="H19:H21"/>
    <mergeCell ref="I19:I21"/>
    <mergeCell ref="K19:K21"/>
    <mergeCell ref="L19:L21"/>
    <mergeCell ref="M19:M21"/>
    <mergeCell ref="U19:U21"/>
    <mergeCell ref="A26:A27"/>
    <mergeCell ref="B26:B27"/>
    <mergeCell ref="C26:C27"/>
    <mergeCell ref="E26:E27"/>
    <mergeCell ref="F26:F27"/>
    <mergeCell ref="G26:G27"/>
    <mergeCell ref="H26:H27"/>
    <mergeCell ref="I26:I27"/>
    <mergeCell ref="N19:N21"/>
    <mergeCell ref="O19:O21"/>
    <mergeCell ref="P19:P21"/>
    <mergeCell ref="Q19:Q21"/>
    <mergeCell ref="R19:R21"/>
    <mergeCell ref="S19:S21"/>
    <mergeCell ref="G19:G21"/>
    <mergeCell ref="L26:L27"/>
    <mergeCell ref="M26:M27"/>
    <mergeCell ref="N26:N27"/>
    <mergeCell ref="O26:O27"/>
    <mergeCell ref="T19:T21"/>
    <mergeCell ref="T26:T27"/>
    <mergeCell ref="U26:U27"/>
    <mergeCell ref="M34:M36"/>
    <mergeCell ref="A34:A36"/>
    <mergeCell ref="B34:B36"/>
    <mergeCell ref="C34:C36"/>
    <mergeCell ref="E34:E36"/>
    <mergeCell ref="F34:F36"/>
    <mergeCell ref="G34:G36"/>
    <mergeCell ref="H34:H36"/>
    <mergeCell ref="I34:I36"/>
    <mergeCell ref="J34:J36"/>
    <mergeCell ref="K34:K36"/>
    <mergeCell ref="L34:L36"/>
    <mergeCell ref="J26:J27"/>
    <mergeCell ref="K26:K27"/>
    <mergeCell ref="R34:R36"/>
    <mergeCell ref="S34:S36"/>
    <mergeCell ref="P26:P27"/>
    <mergeCell ref="Q26:Q27"/>
    <mergeCell ref="R26:R27"/>
    <mergeCell ref="S26:S27"/>
    <mergeCell ref="P40:Q40"/>
    <mergeCell ref="O23:O24"/>
    <mergeCell ref="N34:N36"/>
    <mergeCell ref="O34:O36"/>
    <mergeCell ref="P34:P36"/>
    <mergeCell ref="Q34:Q36"/>
    <mergeCell ref="AM35:AN35"/>
    <mergeCell ref="BL35:BM35"/>
    <mergeCell ref="AX36:AY36"/>
    <mergeCell ref="T34:T36"/>
    <mergeCell ref="U34:U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C918-2BC6-4C62-8AEB-2684F52A06D7}">
  <dimension ref="A1:AY51"/>
  <sheetViews>
    <sheetView topLeftCell="A4" workbookViewId="0">
      <selection activeCell="F21" sqref="F21"/>
    </sheetView>
  </sheetViews>
  <sheetFormatPr defaultRowHeight="15"/>
  <cols>
    <col min="1" max="1" width="9.140625" style="30"/>
    <col min="2" max="2" width="22" style="30" customWidth="1"/>
    <col min="3" max="3" width="14.28515625" style="30" customWidth="1"/>
    <col min="4" max="4" width="9.140625" style="30"/>
    <col min="5" max="5" width="25" style="30" customWidth="1"/>
    <col min="6" max="6" width="24.28515625" style="30" customWidth="1"/>
    <col min="7" max="7" width="13" style="88" customWidth="1"/>
    <col min="8" max="8" width="21.5703125" style="86" customWidth="1"/>
    <col min="9" max="9" width="9.140625" style="30"/>
    <col min="10" max="10" width="11" style="30" customWidth="1"/>
    <col min="11" max="11" width="9.140625" style="30"/>
    <col min="12" max="12" width="22.7109375" style="30" customWidth="1"/>
    <col min="13" max="13" width="16" style="30" customWidth="1"/>
    <col min="14" max="14" width="12" style="30" customWidth="1"/>
    <col min="15" max="15" width="24.28515625" style="30" customWidth="1"/>
    <col min="16" max="16" width="13.140625" style="30" customWidth="1"/>
    <col min="17" max="17" width="13.5703125" style="88" customWidth="1"/>
    <col min="18" max="18" width="22" style="86" customWidth="1"/>
    <col min="19" max="19" width="7.140625" style="30" customWidth="1"/>
    <col min="20" max="22" width="9.140625" style="30"/>
    <col min="23" max="23" width="15.5703125" style="30" customWidth="1"/>
    <col min="24" max="24" width="11.42578125" style="30" customWidth="1"/>
    <col min="25" max="25" width="9.140625" style="30"/>
    <col min="26" max="26" width="15.7109375" style="30" customWidth="1"/>
    <col min="27" max="27" width="15.42578125" style="30" customWidth="1"/>
    <col min="28" max="28" width="16" style="30" customWidth="1"/>
    <col min="29" max="29" width="21.42578125" style="30" customWidth="1"/>
    <col min="30" max="34" width="9.140625" style="30"/>
    <col min="35" max="36" width="15.85546875" style="30" customWidth="1"/>
    <col min="37" max="37" width="15.42578125" style="30" customWidth="1"/>
    <col min="38" max="38" width="9.140625" style="30"/>
    <col min="39" max="39" width="27.42578125" style="30" customWidth="1"/>
    <col min="40" max="40" width="19.85546875" style="30" customWidth="1"/>
    <col min="41" max="41" width="9.140625" style="30"/>
    <col min="42" max="42" width="21.85546875" style="30" customWidth="1"/>
    <col min="43" max="16384" width="9.140625" style="30"/>
  </cols>
  <sheetData>
    <row r="1" spans="1:51">
      <c r="A1" s="165" t="s">
        <v>0</v>
      </c>
      <c r="B1" s="165"/>
      <c r="C1" s="165"/>
      <c r="D1" s="165"/>
      <c r="E1" s="165"/>
      <c r="F1" s="165"/>
      <c r="G1" s="166"/>
      <c r="H1" s="167"/>
      <c r="I1" s="165"/>
      <c r="J1" s="165"/>
      <c r="K1" s="165" t="s">
        <v>1</v>
      </c>
      <c r="L1" s="165"/>
      <c r="M1" s="165"/>
      <c r="N1" s="165"/>
      <c r="O1" s="165"/>
      <c r="P1" s="165"/>
      <c r="Q1" s="166"/>
      <c r="R1" s="167"/>
      <c r="S1" s="165"/>
      <c r="T1" s="165"/>
      <c r="U1" s="235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H1" s="165"/>
      <c r="AI1" s="165"/>
      <c r="AJ1" s="165"/>
      <c r="AK1" s="165"/>
      <c r="AL1" s="165"/>
      <c r="AM1" s="165"/>
      <c r="AN1" s="166"/>
      <c r="AO1" s="167"/>
      <c r="AP1" s="165"/>
      <c r="AQ1" s="165"/>
      <c r="AR1" s="226"/>
    </row>
    <row r="2" spans="1:51">
      <c r="A2" s="165"/>
      <c r="B2" s="165"/>
      <c r="C2" s="165"/>
      <c r="D2" s="165"/>
      <c r="E2" s="165"/>
      <c r="F2" s="165"/>
      <c r="G2" s="166"/>
      <c r="H2" s="167"/>
      <c r="I2" s="165"/>
      <c r="J2" s="165"/>
      <c r="K2" s="165"/>
      <c r="L2" s="165"/>
      <c r="M2" s="165"/>
      <c r="N2" s="165"/>
      <c r="O2" s="165"/>
      <c r="P2" s="165"/>
      <c r="Q2" s="166"/>
      <c r="R2" s="167"/>
      <c r="S2" s="165"/>
      <c r="T2" s="165"/>
      <c r="U2" s="235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H2" s="165"/>
      <c r="AI2" s="165"/>
      <c r="AJ2" s="165"/>
      <c r="AK2" s="165"/>
      <c r="AL2" s="165"/>
      <c r="AM2" s="165"/>
      <c r="AN2" s="166"/>
      <c r="AO2" s="167"/>
      <c r="AP2" s="165"/>
      <c r="AQ2" s="165"/>
      <c r="AR2" s="226"/>
    </row>
    <row r="3" spans="1:51">
      <c r="A3" s="168" t="s">
        <v>3</v>
      </c>
      <c r="B3" s="165"/>
      <c r="C3" s="165"/>
      <c r="D3" s="165"/>
      <c r="E3" s="165"/>
      <c r="F3" s="165"/>
      <c r="G3" s="166"/>
      <c r="H3" s="167"/>
      <c r="I3" s="165"/>
      <c r="J3" s="165"/>
      <c r="K3" s="168" t="s">
        <v>3</v>
      </c>
      <c r="L3" s="165"/>
      <c r="M3" s="165"/>
      <c r="N3" s="165"/>
      <c r="O3" s="165"/>
      <c r="P3" s="165"/>
      <c r="Q3" s="166"/>
      <c r="R3" s="167"/>
      <c r="S3" s="165"/>
      <c r="T3" s="165"/>
      <c r="U3" s="235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H3" s="168"/>
      <c r="AI3" s="165"/>
      <c r="AJ3" s="165"/>
      <c r="AK3" s="165"/>
      <c r="AL3" s="165"/>
      <c r="AM3" s="165"/>
      <c r="AN3" s="166"/>
      <c r="AO3" s="167"/>
      <c r="AP3" s="165"/>
      <c r="AQ3" s="165"/>
      <c r="AR3" s="226"/>
    </row>
    <row r="4" spans="1:51">
      <c r="A4" s="165"/>
      <c r="B4" s="169" t="s">
        <v>4</v>
      </c>
      <c r="C4" s="169">
        <v>740</v>
      </c>
      <c r="D4" s="165"/>
      <c r="E4" s="165"/>
      <c r="F4" s="165"/>
      <c r="G4" s="166"/>
      <c r="H4" s="167"/>
      <c r="I4" s="165"/>
      <c r="J4" s="165"/>
      <c r="K4" s="165"/>
      <c r="L4" s="169" t="s">
        <v>4</v>
      </c>
      <c r="M4" s="169">
        <v>740</v>
      </c>
      <c r="N4" s="165"/>
      <c r="O4" s="165"/>
      <c r="P4" s="165"/>
      <c r="Q4" s="166"/>
      <c r="R4" s="167"/>
      <c r="S4" s="165"/>
      <c r="T4" s="165"/>
      <c r="U4" s="235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H4" s="165"/>
      <c r="AI4" s="45"/>
      <c r="AJ4" s="45"/>
      <c r="AK4" s="45"/>
      <c r="AL4" s="45"/>
      <c r="AM4" s="45"/>
      <c r="AN4" s="45"/>
      <c r="AO4" s="45"/>
      <c r="AP4" s="45"/>
      <c r="AQ4" s="45"/>
      <c r="AR4" s="45"/>
    </row>
    <row r="5" spans="1:51">
      <c r="A5" s="165"/>
      <c r="B5" s="169" t="s">
        <v>5</v>
      </c>
      <c r="C5" s="170">
        <v>230000</v>
      </c>
      <c r="D5" s="165"/>
      <c r="E5" s="165"/>
      <c r="F5" s="165"/>
      <c r="G5" s="166"/>
      <c r="H5" s="167"/>
      <c r="I5" s="165"/>
      <c r="J5" s="165"/>
      <c r="K5" s="165"/>
      <c r="L5" s="169" t="s">
        <v>5</v>
      </c>
      <c r="M5" s="170">
        <v>250000</v>
      </c>
      <c r="N5" s="165"/>
      <c r="O5" s="165"/>
      <c r="P5" s="165"/>
      <c r="Q5" s="166"/>
      <c r="R5" s="167"/>
      <c r="S5" s="165"/>
      <c r="T5" s="165"/>
      <c r="U5" s="235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H5" s="165"/>
      <c r="AI5" s="45"/>
      <c r="AJ5" s="45"/>
      <c r="AK5" s="45"/>
      <c r="AL5" s="45"/>
      <c r="AM5" s="45"/>
      <c r="AN5" s="45"/>
      <c r="AO5" s="45"/>
      <c r="AP5" s="45"/>
      <c r="AQ5" s="45"/>
      <c r="AR5" s="45"/>
    </row>
    <row r="6" spans="1:51">
      <c r="A6" s="165"/>
      <c r="B6" s="169" t="s">
        <v>101</v>
      </c>
      <c r="C6" s="169">
        <v>1651</v>
      </c>
      <c r="D6" s="165"/>
      <c r="E6" s="165"/>
      <c r="F6" s="165"/>
      <c r="G6" s="166"/>
      <c r="H6" s="167"/>
      <c r="I6" s="165"/>
      <c r="J6" s="165"/>
      <c r="K6" s="165"/>
      <c r="L6" s="169" t="s">
        <v>101</v>
      </c>
      <c r="M6" s="169">
        <v>2500</v>
      </c>
      <c r="N6" s="165"/>
      <c r="O6" s="165"/>
      <c r="P6" s="165"/>
      <c r="Q6" s="166"/>
      <c r="R6" s="167"/>
      <c r="S6" s="165"/>
      <c r="T6" s="165"/>
      <c r="U6" s="235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H6" s="165"/>
      <c r="AI6" s="47"/>
      <c r="AJ6" s="45"/>
      <c r="AK6" s="45"/>
      <c r="AL6" s="45"/>
      <c r="AM6" s="45"/>
      <c r="AN6" s="45"/>
      <c r="AO6" s="45"/>
      <c r="AP6" s="45"/>
      <c r="AQ6" s="45"/>
      <c r="AR6" s="45"/>
    </row>
    <row r="7" spans="1:51">
      <c r="A7" s="165"/>
      <c r="B7" s="169" t="s">
        <v>9</v>
      </c>
      <c r="C7" s="169" t="s">
        <v>8</v>
      </c>
      <c r="D7" s="165"/>
      <c r="E7" s="165"/>
      <c r="F7" s="165"/>
      <c r="G7" s="166" t="s">
        <v>100</v>
      </c>
      <c r="H7" s="171" t="s">
        <v>102</v>
      </c>
      <c r="I7" s="165"/>
      <c r="J7" s="172" t="s">
        <v>100</v>
      </c>
      <c r="K7" s="165"/>
      <c r="L7" s="169" t="s">
        <v>9</v>
      </c>
      <c r="M7" s="169" t="s">
        <v>8</v>
      </c>
      <c r="N7" s="165"/>
      <c r="O7" s="165"/>
      <c r="P7" s="165"/>
      <c r="Q7" s="166" t="s">
        <v>100</v>
      </c>
      <c r="R7" s="171" t="s">
        <v>102</v>
      </c>
      <c r="S7" s="165" t="s">
        <v>99</v>
      </c>
      <c r="T7" s="172" t="s">
        <v>100</v>
      </c>
      <c r="U7" s="235"/>
      <c r="V7" s="165" t="s">
        <v>0</v>
      </c>
      <c r="W7" s="165"/>
      <c r="X7" s="165"/>
      <c r="Y7" s="165"/>
      <c r="Z7" s="165"/>
      <c r="AA7" s="165"/>
      <c r="AB7" s="166"/>
      <c r="AC7" s="167"/>
      <c r="AD7" s="165"/>
      <c r="AE7" s="165"/>
      <c r="AF7" s="226"/>
      <c r="AH7" s="165"/>
      <c r="AI7" s="45"/>
      <c r="AJ7" s="48"/>
      <c r="AK7" s="48"/>
      <c r="AL7" s="45"/>
      <c r="AM7" s="45"/>
      <c r="AN7" s="45"/>
      <c r="AO7" s="45"/>
      <c r="AP7" s="45"/>
      <c r="AQ7" s="45"/>
      <c r="AR7" s="45"/>
    </row>
    <row r="8" spans="1:51">
      <c r="A8" s="165"/>
      <c r="B8" s="169" t="s">
        <v>105</v>
      </c>
      <c r="C8" s="169">
        <v>3.9769999999999999</v>
      </c>
      <c r="D8" s="173"/>
      <c r="E8" s="169" t="s">
        <v>11</v>
      </c>
      <c r="F8" s="174">
        <v>0.8</v>
      </c>
      <c r="G8" s="175">
        <v>70</v>
      </c>
      <c r="H8" s="176" t="s">
        <v>107</v>
      </c>
      <c r="I8" s="177">
        <v>0</v>
      </c>
      <c r="J8" s="178">
        <v>-3.2</v>
      </c>
      <c r="K8" s="165"/>
      <c r="L8" s="169" t="s">
        <v>105</v>
      </c>
      <c r="M8" s="198">
        <v>4.7570000000000001E-2</v>
      </c>
      <c r="N8" s="173"/>
      <c r="O8" s="169" t="s">
        <v>11</v>
      </c>
      <c r="P8" s="174">
        <v>0.8</v>
      </c>
      <c r="Q8" s="175">
        <v>70</v>
      </c>
      <c r="R8" s="176" t="s">
        <v>22</v>
      </c>
      <c r="S8" s="224">
        <v>0</v>
      </c>
      <c r="T8" s="186">
        <v>-3.2</v>
      </c>
      <c r="U8" s="235"/>
      <c r="V8" s="165"/>
      <c r="W8" s="165"/>
      <c r="X8" s="165"/>
      <c r="Y8" s="165"/>
      <c r="Z8" s="165"/>
      <c r="AA8" s="165"/>
      <c r="AB8" s="166"/>
      <c r="AC8" s="167"/>
      <c r="AD8" s="165"/>
      <c r="AE8" s="165"/>
      <c r="AF8" s="226"/>
      <c r="AH8" s="165"/>
      <c r="AI8" s="165" t="s">
        <v>0</v>
      </c>
      <c r="AJ8" s="165"/>
      <c r="AK8" s="165"/>
      <c r="AL8" s="165"/>
      <c r="AM8" s="165"/>
      <c r="AN8" s="165"/>
      <c r="AO8" s="166"/>
      <c r="AP8" s="167"/>
      <c r="AQ8" s="165"/>
      <c r="AR8" s="165"/>
      <c r="AS8" s="226"/>
      <c r="AU8" s="165"/>
      <c r="AV8" s="45"/>
      <c r="AW8" s="48"/>
      <c r="AX8" s="48"/>
      <c r="AY8" s="45"/>
    </row>
    <row r="9" spans="1:51">
      <c r="A9" s="165"/>
      <c r="B9" s="169" t="s">
        <v>114</v>
      </c>
      <c r="C9" s="179">
        <v>1.5E-3</v>
      </c>
      <c r="D9" s="173"/>
      <c r="E9" s="169" t="s">
        <v>19</v>
      </c>
      <c r="F9" s="180">
        <f>C5*F8</f>
        <v>184000</v>
      </c>
      <c r="G9" s="175">
        <f>C5*70%</f>
        <v>161000</v>
      </c>
      <c r="H9" s="181" t="s">
        <v>20</v>
      </c>
      <c r="I9" s="182">
        <v>0</v>
      </c>
      <c r="J9" s="178">
        <v>0.1</v>
      </c>
      <c r="K9" s="165"/>
      <c r="L9" s="169" t="s">
        <v>114</v>
      </c>
      <c r="M9" s="179">
        <v>1.5E-3</v>
      </c>
      <c r="N9" s="173"/>
      <c r="O9" s="169" t="s">
        <v>19</v>
      </c>
      <c r="P9" s="180">
        <f>M5*P8</f>
        <v>200000</v>
      </c>
      <c r="Q9" s="175">
        <f>M5*70%</f>
        <v>175000</v>
      </c>
      <c r="R9" s="181" t="s">
        <v>20</v>
      </c>
      <c r="S9" s="180">
        <v>0</v>
      </c>
      <c r="T9" s="186">
        <v>0.1</v>
      </c>
      <c r="U9" s="235"/>
      <c r="V9" s="168" t="s">
        <v>3</v>
      </c>
      <c r="W9" s="165"/>
      <c r="X9" s="165"/>
      <c r="Y9" s="165"/>
      <c r="Z9" s="165"/>
      <c r="AA9" s="165"/>
      <c r="AB9" s="166"/>
      <c r="AC9" s="167"/>
      <c r="AD9" s="165"/>
      <c r="AE9" s="165"/>
      <c r="AF9" s="226"/>
      <c r="AH9" s="165"/>
      <c r="AI9" s="165"/>
      <c r="AJ9" s="165"/>
      <c r="AK9" s="165"/>
      <c r="AL9" s="165"/>
      <c r="AM9" s="165"/>
      <c r="AN9" s="165"/>
      <c r="AO9" s="166"/>
      <c r="AP9" s="167"/>
      <c r="AQ9" s="165"/>
      <c r="AR9" s="165"/>
      <c r="AS9" s="226"/>
      <c r="AU9" s="165"/>
      <c r="AV9" s="45"/>
      <c r="AW9" s="48"/>
      <c r="AX9" s="49"/>
      <c r="AY9" s="45"/>
    </row>
    <row r="10" spans="1:51">
      <c r="A10" s="165"/>
      <c r="B10" s="169" t="s">
        <v>17</v>
      </c>
      <c r="C10" s="169">
        <v>5</v>
      </c>
      <c r="D10" s="173"/>
      <c r="E10" s="169" t="s">
        <v>24</v>
      </c>
      <c r="F10" s="180">
        <v>1</v>
      </c>
      <c r="G10" s="175"/>
      <c r="H10" s="181" t="s">
        <v>25</v>
      </c>
      <c r="I10" s="182">
        <v>0</v>
      </c>
      <c r="J10" s="178">
        <v>0</v>
      </c>
      <c r="K10" s="165"/>
      <c r="L10" s="169" t="s">
        <v>17</v>
      </c>
      <c r="M10" s="169">
        <v>4</v>
      </c>
      <c r="N10" s="173"/>
      <c r="O10" s="169" t="s">
        <v>24</v>
      </c>
      <c r="P10" s="180">
        <v>1</v>
      </c>
      <c r="Q10" s="175">
        <v>1</v>
      </c>
      <c r="R10" s="181" t="s">
        <v>25</v>
      </c>
      <c r="S10" s="180">
        <v>0</v>
      </c>
      <c r="T10" s="186">
        <v>0</v>
      </c>
      <c r="U10" s="235"/>
      <c r="V10" s="165"/>
      <c r="W10" s="169" t="s">
        <v>4</v>
      </c>
      <c r="X10" s="169">
        <v>740</v>
      </c>
      <c r="Y10" s="165"/>
      <c r="Z10" s="165"/>
      <c r="AA10" s="165"/>
      <c r="AB10" s="166"/>
      <c r="AC10" s="167"/>
      <c r="AD10" s="165"/>
      <c r="AE10" s="165"/>
      <c r="AF10" s="226"/>
      <c r="AH10" s="165"/>
      <c r="AI10" s="168" t="s">
        <v>3</v>
      </c>
      <c r="AJ10" s="165"/>
      <c r="AK10" s="165"/>
      <c r="AL10" s="165"/>
      <c r="AM10" s="165"/>
      <c r="AN10" s="165"/>
      <c r="AO10" s="166"/>
      <c r="AP10" s="167"/>
      <c r="AQ10" s="165"/>
      <c r="AR10" s="165"/>
      <c r="AS10" s="226"/>
      <c r="AU10" s="165"/>
      <c r="AV10" s="45"/>
      <c r="AW10" s="48"/>
      <c r="AX10" s="48"/>
      <c r="AY10" s="45"/>
    </row>
    <row r="11" spans="1:51">
      <c r="A11" s="165"/>
      <c r="B11" s="183" t="s">
        <v>121</v>
      </c>
      <c r="C11" s="183">
        <v>102</v>
      </c>
      <c r="D11" s="173"/>
      <c r="E11" s="169" t="s">
        <v>27</v>
      </c>
      <c r="F11" s="180">
        <f>C6*12</f>
        <v>19812</v>
      </c>
      <c r="G11" s="175"/>
      <c r="H11" s="184" t="s">
        <v>154</v>
      </c>
      <c r="I11" s="185">
        <v>-0.35</v>
      </c>
      <c r="J11" s="178">
        <v>-0.2</v>
      </c>
      <c r="K11" s="165"/>
      <c r="L11" s="183" t="s">
        <v>121</v>
      </c>
      <c r="M11" s="183">
        <v>102</v>
      </c>
      <c r="N11" s="173"/>
      <c r="O11" s="169" t="s">
        <v>27</v>
      </c>
      <c r="P11" s="180">
        <f>M6*12</f>
        <v>30000</v>
      </c>
      <c r="Q11" s="175">
        <f>M6*12</f>
        <v>30000</v>
      </c>
      <c r="R11" s="184" t="s">
        <v>154</v>
      </c>
      <c r="S11" s="225">
        <v>-0.35</v>
      </c>
      <c r="T11" s="186">
        <v>-0.2</v>
      </c>
      <c r="U11" s="235"/>
      <c r="V11" s="165"/>
      <c r="W11" s="169" t="s">
        <v>5</v>
      </c>
      <c r="X11" s="170">
        <v>4000000</v>
      </c>
      <c r="Y11" s="165"/>
      <c r="Z11" s="165"/>
      <c r="AA11" s="165"/>
      <c r="AB11" s="166"/>
      <c r="AC11" s="167"/>
      <c r="AD11" s="165"/>
      <c r="AE11" s="165"/>
      <c r="AF11" s="226"/>
      <c r="AH11" s="165"/>
      <c r="AI11" s="165"/>
      <c r="AJ11" s="169" t="s">
        <v>4</v>
      </c>
      <c r="AK11" s="169">
        <v>740</v>
      </c>
      <c r="AL11" s="165"/>
      <c r="AM11" s="165"/>
      <c r="AN11" s="165"/>
      <c r="AO11" s="166"/>
      <c r="AP11" s="167"/>
      <c r="AQ11" s="165"/>
      <c r="AR11" s="165"/>
      <c r="AS11" s="226"/>
      <c r="AU11" s="165"/>
      <c r="AV11" s="45"/>
      <c r="AW11" s="48"/>
      <c r="AX11" s="48"/>
      <c r="AY11" s="45"/>
    </row>
    <row r="12" spans="1:51">
      <c r="A12" s="165"/>
      <c r="B12" s="169" t="s">
        <v>12</v>
      </c>
      <c r="C12" s="186" t="s">
        <v>92</v>
      </c>
      <c r="D12" s="173"/>
      <c r="E12" s="169" t="s">
        <v>30</v>
      </c>
      <c r="F12" s="187">
        <f>F11*0.01</f>
        <v>198.12</v>
      </c>
      <c r="G12" s="175"/>
      <c r="H12" s="181" t="s">
        <v>12</v>
      </c>
      <c r="I12" s="188"/>
      <c r="J12" s="178">
        <v>0</v>
      </c>
      <c r="K12" s="165"/>
      <c r="L12" s="169" t="s">
        <v>12</v>
      </c>
      <c r="M12" s="186" t="s">
        <v>92</v>
      </c>
      <c r="N12" s="173"/>
      <c r="O12" s="169" t="s">
        <v>30</v>
      </c>
      <c r="P12" s="187">
        <f>P11*0.01</f>
        <v>300</v>
      </c>
      <c r="Q12" s="175">
        <f>P11*0.01</f>
        <v>300</v>
      </c>
      <c r="R12" s="181" t="s">
        <v>12</v>
      </c>
      <c r="S12" s="226">
        <v>0</v>
      </c>
      <c r="T12" s="186">
        <v>0</v>
      </c>
      <c r="U12" s="235"/>
      <c r="V12" s="165"/>
      <c r="W12" s="169" t="s">
        <v>101</v>
      </c>
      <c r="X12" s="169">
        <v>2500</v>
      </c>
      <c r="Y12" s="165"/>
      <c r="Z12" s="165"/>
      <c r="AA12" s="165"/>
      <c r="AB12" s="166"/>
      <c r="AC12" s="167"/>
      <c r="AD12" s="165"/>
      <c r="AE12" s="165"/>
      <c r="AF12" s="226"/>
      <c r="AH12" s="165"/>
      <c r="AI12" s="165"/>
      <c r="AJ12" s="169" t="s">
        <v>5</v>
      </c>
      <c r="AK12" s="170">
        <v>230000</v>
      </c>
      <c r="AL12" s="165"/>
      <c r="AM12" s="165"/>
      <c r="AN12" s="165"/>
      <c r="AO12" s="166"/>
      <c r="AP12" s="167"/>
      <c r="AQ12" s="165"/>
      <c r="AR12" s="165"/>
      <c r="AS12" s="226"/>
      <c r="AU12" s="165"/>
      <c r="AV12" s="45"/>
      <c r="AW12" s="48"/>
      <c r="AX12" s="48"/>
      <c r="AY12" s="50"/>
    </row>
    <row r="13" spans="1:51">
      <c r="A13" s="165"/>
      <c r="B13" s="189"/>
      <c r="C13" s="165"/>
      <c r="D13" s="173"/>
      <c r="E13" s="183" t="s">
        <v>33</v>
      </c>
      <c r="F13" s="190">
        <f>F11-F12</f>
        <v>19613.88</v>
      </c>
      <c r="G13" s="175"/>
      <c r="H13" s="181" t="s">
        <v>34</v>
      </c>
      <c r="I13" s="182">
        <v>0.5</v>
      </c>
      <c r="J13" s="178">
        <v>0.5</v>
      </c>
      <c r="K13" s="165"/>
      <c r="L13" s="189"/>
      <c r="M13" s="165"/>
      <c r="N13" s="173"/>
      <c r="O13" s="183" t="s">
        <v>33</v>
      </c>
      <c r="P13" s="190">
        <f>P11-P12</f>
        <v>29700</v>
      </c>
      <c r="Q13" s="227">
        <f>P11-P12</f>
        <v>29700</v>
      </c>
      <c r="R13" s="181" t="s">
        <v>34</v>
      </c>
      <c r="S13" s="180">
        <v>0.5</v>
      </c>
      <c r="T13" s="186">
        <v>0.5</v>
      </c>
      <c r="U13" s="235"/>
      <c r="V13" s="165"/>
      <c r="W13" s="169" t="s">
        <v>9</v>
      </c>
      <c r="X13" s="169" t="s">
        <v>8</v>
      </c>
      <c r="Y13" s="165"/>
      <c r="Z13" s="165"/>
      <c r="AA13" s="165"/>
      <c r="AB13" s="166"/>
      <c r="AC13" s="171" t="s">
        <v>102</v>
      </c>
      <c r="AD13" s="165"/>
      <c r="AE13" s="172" t="s">
        <v>100</v>
      </c>
      <c r="AF13" s="226"/>
      <c r="AH13" s="165"/>
      <c r="AI13" s="165"/>
      <c r="AJ13" s="169" t="s">
        <v>101</v>
      </c>
      <c r="AK13" s="169">
        <v>1651</v>
      </c>
      <c r="AL13" s="165"/>
      <c r="AM13" s="165"/>
      <c r="AN13" s="165"/>
      <c r="AO13" s="166"/>
      <c r="AP13" s="167"/>
      <c r="AQ13" s="165"/>
      <c r="AR13" s="165"/>
      <c r="AS13" s="226"/>
      <c r="AU13" s="165"/>
      <c r="AV13" s="45"/>
      <c r="AW13" s="48"/>
      <c r="AX13" s="55"/>
      <c r="AY13" s="50"/>
    </row>
    <row r="14" spans="1:51">
      <c r="A14" s="165"/>
      <c r="B14" s="165"/>
      <c r="C14" s="165"/>
      <c r="D14" s="165"/>
      <c r="E14" s="186" t="s">
        <v>36</v>
      </c>
      <c r="F14" s="191">
        <f>IF(F13=1,C26,C27)</f>
        <v>19613.88</v>
      </c>
      <c r="G14" s="175"/>
      <c r="H14" s="181" t="s">
        <v>24</v>
      </c>
      <c r="I14" s="182">
        <v>-0.6</v>
      </c>
      <c r="J14" s="178">
        <v>-0.3</v>
      </c>
      <c r="K14" s="165"/>
      <c r="L14" s="165"/>
      <c r="M14" s="165"/>
      <c r="N14" s="165"/>
      <c r="O14" s="186" t="s">
        <v>36</v>
      </c>
      <c r="P14" s="191">
        <f>IF(P13=1,M26,M27)</f>
        <v>29700</v>
      </c>
      <c r="Q14" s="175">
        <f>IF(P13=1,M26,M27)</f>
        <v>29700</v>
      </c>
      <c r="R14" s="181" t="s">
        <v>24</v>
      </c>
      <c r="S14" s="180">
        <v>-0.6</v>
      </c>
      <c r="T14" s="186">
        <v>-0.3</v>
      </c>
      <c r="U14" s="235"/>
      <c r="V14" s="165"/>
      <c r="W14" s="169" t="s">
        <v>105</v>
      </c>
      <c r="X14" s="236">
        <v>4.7570000000000001E-2</v>
      </c>
      <c r="Y14" s="173"/>
      <c r="Z14" s="169" t="s">
        <v>11</v>
      </c>
      <c r="AA14" s="174">
        <v>0.8</v>
      </c>
      <c r="AB14" s="175"/>
      <c r="AC14" s="176" t="s">
        <v>107</v>
      </c>
      <c r="AD14" s="177">
        <v>0</v>
      </c>
      <c r="AE14" s="178">
        <v>-3.2</v>
      </c>
      <c r="AF14" s="226"/>
      <c r="AH14" s="165"/>
      <c r="AI14" s="165"/>
      <c r="AJ14" s="169" t="s">
        <v>9</v>
      </c>
      <c r="AK14" s="169" t="s">
        <v>8</v>
      </c>
      <c r="AL14" s="165"/>
      <c r="AM14" s="165"/>
      <c r="AN14" s="165" t="s">
        <v>23</v>
      </c>
      <c r="AO14" s="166" t="s">
        <v>155</v>
      </c>
      <c r="AP14" s="171" t="s">
        <v>102</v>
      </c>
      <c r="AQ14" s="165"/>
      <c r="AR14" s="172" t="s">
        <v>100</v>
      </c>
      <c r="AS14" s="226"/>
      <c r="AU14" s="165"/>
      <c r="AV14" s="45"/>
      <c r="AW14" s="48"/>
      <c r="AX14" s="48"/>
      <c r="AY14" s="50"/>
    </row>
    <row r="15" spans="1:51">
      <c r="A15" s="165"/>
      <c r="B15" s="165"/>
      <c r="C15" s="165"/>
      <c r="D15" s="173"/>
      <c r="E15" s="192" t="s">
        <v>37</v>
      </c>
      <c r="F15" s="193">
        <f>F25/C5</f>
        <v>0.8</v>
      </c>
      <c r="G15" s="194">
        <f>G25/C5</f>
        <v>0.7</v>
      </c>
      <c r="H15" s="181" t="s">
        <v>38</v>
      </c>
      <c r="I15" s="182">
        <v>0</v>
      </c>
      <c r="J15" s="195">
        <v>0</v>
      </c>
      <c r="K15" s="165"/>
      <c r="L15" s="165"/>
      <c r="M15" s="165"/>
      <c r="N15" s="173"/>
      <c r="O15" s="192" t="s">
        <v>37</v>
      </c>
      <c r="P15" s="193">
        <f>P25/M5</f>
        <v>0.8</v>
      </c>
      <c r="Q15" s="228">
        <f>Q25/M5</f>
        <v>0.7</v>
      </c>
      <c r="R15" s="199" t="s">
        <v>38</v>
      </c>
      <c r="S15" s="180">
        <v>0</v>
      </c>
      <c r="T15" s="229">
        <v>0</v>
      </c>
      <c r="U15" s="235"/>
      <c r="V15" s="165"/>
      <c r="W15" s="169" t="s">
        <v>114</v>
      </c>
      <c r="X15" s="179">
        <v>1.5E-3</v>
      </c>
      <c r="Y15" s="173"/>
      <c r="Z15" s="169" t="s">
        <v>19</v>
      </c>
      <c r="AA15" s="180">
        <f>X11*AA14</f>
        <v>3200000</v>
      </c>
      <c r="AB15" s="175"/>
      <c r="AC15" s="181" t="s">
        <v>20</v>
      </c>
      <c r="AD15" s="182">
        <v>0</v>
      </c>
      <c r="AE15" s="178">
        <v>0.1</v>
      </c>
      <c r="AF15" s="226"/>
      <c r="AH15" s="165"/>
      <c r="AI15" s="165"/>
      <c r="AJ15" s="169" t="s">
        <v>105</v>
      </c>
      <c r="AK15" s="236">
        <v>4.3360000000000003E-2</v>
      </c>
      <c r="AL15" s="173"/>
      <c r="AM15" s="169" t="s">
        <v>11</v>
      </c>
      <c r="AN15" s="174">
        <v>0.8</v>
      </c>
      <c r="AO15" s="175">
        <v>70</v>
      </c>
      <c r="AP15" s="176" t="s">
        <v>107</v>
      </c>
      <c r="AQ15" s="177">
        <v>0</v>
      </c>
      <c r="AR15" s="178">
        <v>-3.2</v>
      </c>
      <c r="AS15" s="226"/>
      <c r="AT15" s="52"/>
      <c r="AU15" s="52"/>
      <c r="AV15" s="45"/>
      <c r="AW15" s="48"/>
      <c r="AX15" s="48"/>
      <c r="AY15" s="50"/>
    </row>
    <row r="16" spans="1:51">
      <c r="A16" s="165"/>
      <c r="B16" s="165"/>
      <c r="C16" s="165"/>
      <c r="D16" s="196"/>
      <c r="E16" s="197" t="s">
        <v>135</v>
      </c>
      <c r="F16" s="198">
        <v>3.977E-2</v>
      </c>
      <c r="G16" s="175"/>
      <c r="H16" s="199" t="s">
        <v>40</v>
      </c>
      <c r="I16" s="200">
        <v>-0.6</v>
      </c>
      <c r="J16" s="195">
        <v>-0.6</v>
      </c>
      <c r="K16" s="165"/>
      <c r="L16" s="165"/>
      <c r="M16" s="165"/>
      <c r="N16" s="196"/>
      <c r="O16" s="197" t="s">
        <v>135</v>
      </c>
      <c r="P16" s="198">
        <v>3.977E-2</v>
      </c>
      <c r="Q16" s="198">
        <v>3.977E-2</v>
      </c>
      <c r="R16" s="230" t="s">
        <v>40</v>
      </c>
      <c r="S16" s="231">
        <v>-0.6</v>
      </c>
      <c r="T16" s="229">
        <v>-0.6</v>
      </c>
      <c r="U16" s="226"/>
      <c r="V16" s="165"/>
      <c r="W16" s="169" t="s">
        <v>17</v>
      </c>
      <c r="X16" s="169">
        <v>4</v>
      </c>
      <c r="Y16" s="173"/>
      <c r="Z16" s="169" t="s">
        <v>24</v>
      </c>
      <c r="AA16" s="180">
        <v>1</v>
      </c>
      <c r="AB16" s="175"/>
      <c r="AC16" s="181" t="s">
        <v>25</v>
      </c>
      <c r="AD16" s="182" t="s">
        <v>126</v>
      </c>
      <c r="AE16" s="178">
        <v>0</v>
      </c>
      <c r="AF16" s="226"/>
      <c r="AH16" s="165"/>
      <c r="AI16" s="165"/>
      <c r="AJ16" s="169" t="s">
        <v>114</v>
      </c>
      <c r="AK16" s="179">
        <v>1.5E-3</v>
      </c>
      <c r="AL16" s="173"/>
      <c r="AM16" s="169" t="s">
        <v>19</v>
      </c>
      <c r="AN16" s="180">
        <f>AK12*AN15</f>
        <v>184000</v>
      </c>
      <c r="AO16" s="175"/>
      <c r="AP16" s="181" t="s">
        <v>20</v>
      </c>
      <c r="AQ16" s="182">
        <v>0</v>
      </c>
      <c r="AR16" s="178">
        <v>0.1</v>
      </c>
      <c r="AS16" s="226"/>
      <c r="AT16" s="48"/>
      <c r="AU16" s="54"/>
      <c r="AV16" s="45"/>
      <c r="AW16" s="60"/>
      <c r="AX16" s="50"/>
      <c r="AY16" s="50"/>
    </row>
    <row r="17" spans="1:51">
      <c r="A17" s="165"/>
      <c r="B17" s="165"/>
      <c r="C17" s="165"/>
      <c r="D17" s="201"/>
      <c r="E17" s="201" t="s">
        <v>138</v>
      </c>
      <c r="F17" s="191">
        <v>102</v>
      </c>
      <c r="G17" s="175"/>
      <c r="H17" s="181" t="s">
        <v>42</v>
      </c>
      <c r="I17" s="202">
        <f>SUM(I8:I16)</f>
        <v>-1.0499999999999998</v>
      </c>
      <c r="J17" s="203">
        <f>SUM(J8:J16)</f>
        <v>-3.7</v>
      </c>
      <c r="K17" s="165"/>
      <c r="L17" s="165"/>
      <c r="M17" s="165"/>
      <c r="N17" s="201"/>
      <c r="O17" s="201" t="s">
        <v>138</v>
      </c>
      <c r="P17" s="191">
        <v>102</v>
      </c>
      <c r="Q17" s="219">
        <v>102</v>
      </c>
      <c r="R17" s="232" t="s">
        <v>42</v>
      </c>
      <c r="S17" s="233">
        <f>SUM(S8:S16)</f>
        <v>-1.0499999999999998</v>
      </c>
      <c r="T17" s="172">
        <f>SUM(T8:T16)</f>
        <v>-3.7</v>
      </c>
      <c r="U17" s="235"/>
      <c r="V17" s="165"/>
      <c r="W17" s="183" t="s">
        <v>121</v>
      </c>
      <c r="X17" s="183">
        <v>102</v>
      </c>
      <c r="Y17" s="173"/>
      <c r="Z17" s="169" t="s">
        <v>27</v>
      </c>
      <c r="AA17" s="180">
        <f>X12*12</f>
        <v>30000</v>
      </c>
      <c r="AB17" s="175"/>
      <c r="AC17" s="184" t="s">
        <v>154</v>
      </c>
      <c r="AD17" s="185">
        <v>-0.35</v>
      </c>
      <c r="AE17" s="178">
        <v>-0.2</v>
      </c>
      <c r="AF17" s="226"/>
      <c r="AH17" s="165"/>
      <c r="AI17" s="165"/>
      <c r="AJ17" s="169" t="s">
        <v>17</v>
      </c>
      <c r="AK17" s="169">
        <v>4</v>
      </c>
      <c r="AL17" s="173"/>
      <c r="AM17" s="169" t="s">
        <v>24</v>
      </c>
      <c r="AN17" s="180">
        <v>1</v>
      </c>
      <c r="AO17" s="175"/>
      <c r="AP17" s="181" t="s">
        <v>25</v>
      </c>
      <c r="AQ17" s="182">
        <v>-0.15</v>
      </c>
      <c r="AR17" s="178">
        <v>0</v>
      </c>
      <c r="AS17" s="226"/>
      <c r="AT17" s="48"/>
      <c r="AU17" s="54"/>
      <c r="AV17" s="45"/>
      <c r="AW17" s="60"/>
      <c r="AX17" s="45"/>
      <c r="AY17" s="50"/>
    </row>
    <row r="18" spans="1:51">
      <c r="A18" s="165"/>
      <c r="B18" s="165"/>
      <c r="C18" s="165"/>
      <c r="D18" s="173"/>
      <c r="E18" s="169" t="s">
        <v>43</v>
      </c>
      <c r="F18" s="204">
        <f>F17-(I17)+0.15</f>
        <v>103.2</v>
      </c>
      <c r="G18" s="175">
        <f>F17-(J17)+0.15</f>
        <v>105.85000000000001</v>
      </c>
      <c r="H18" s="167"/>
      <c r="I18" s="165"/>
      <c r="J18" s="165"/>
      <c r="K18" s="165"/>
      <c r="L18" s="165"/>
      <c r="M18" s="165"/>
      <c r="N18" s="173"/>
      <c r="O18" s="169" t="s">
        <v>43</v>
      </c>
      <c r="P18" s="204">
        <f>P17-(S17)+0.15</f>
        <v>103.2</v>
      </c>
      <c r="Q18" s="234">
        <f>Q17-(T17)+0.15</f>
        <v>105.85000000000001</v>
      </c>
      <c r="R18" s="167"/>
      <c r="S18" s="165"/>
      <c r="T18" s="165"/>
      <c r="U18" s="235"/>
      <c r="V18" s="165"/>
      <c r="W18" s="169" t="s">
        <v>12</v>
      </c>
      <c r="X18" s="186" t="s">
        <v>92</v>
      </c>
      <c r="Y18" s="173"/>
      <c r="Z18" s="169" t="s">
        <v>30</v>
      </c>
      <c r="AA18" s="187">
        <f>AA17*0.01</f>
        <v>300</v>
      </c>
      <c r="AB18" s="175"/>
      <c r="AC18" s="181" t="s">
        <v>12</v>
      </c>
      <c r="AD18" s="188"/>
      <c r="AE18" s="178">
        <v>0</v>
      </c>
      <c r="AF18" s="226"/>
      <c r="AH18" s="165"/>
      <c r="AI18" s="165"/>
      <c r="AJ18" s="183" t="s">
        <v>121</v>
      </c>
      <c r="AK18" s="183">
        <v>102</v>
      </c>
      <c r="AL18" s="173"/>
      <c r="AM18" s="169" t="s">
        <v>27</v>
      </c>
      <c r="AN18" s="180">
        <f>AK13*12</f>
        <v>19812</v>
      </c>
      <c r="AO18" s="175"/>
      <c r="AP18" s="184" t="s">
        <v>154</v>
      </c>
      <c r="AQ18" s="185">
        <v>-0.35</v>
      </c>
      <c r="AR18" s="178">
        <v>-0.2</v>
      </c>
      <c r="AS18" s="226"/>
      <c r="AT18" s="58"/>
      <c r="AU18" s="59"/>
      <c r="AV18" s="45"/>
      <c r="AW18" s="45"/>
      <c r="AX18" s="45"/>
      <c r="AY18" s="45"/>
    </row>
    <row r="19" spans="1:51">
      <c r="A19" s="165"/>
      <c r="B19" s="165"/>
      <c r="C19" s="165"/>
      <c r="D19" s="205"/>
      <c r="E19" s="169" t="s">
        <v>44</v>
      </c>
      <c r="F19" s="180">
        <v>307.5</v>
      </c>
      <c r="G19" s="175">
        <v>377.5</v>
      </c>
      <c r="H19" s="167"/>
      <c r="I19" s="165"/>
      <c r="J19" s="165"/>
      <c r="K19" s="165"/>
      <c r="L19" s="165"/>
      <c r="M19" s="165"/>
      <c r="N19" s="205"/>
      <c r="O19" s="169" t="s">
        <v>44</v>
      </c>
      <c r="P19" s="180">
        <v>307.5</v>
      </c>
      <c r="Q19" s="175">
        <v>377.5</v>
      </c>
      <c r="R19" s="167"/>
      <c r="S19" s="165"/>
      <c r="T19" s="165"/>
      <c r="U19" s="235"/>
      <c r="V19" s="165"/>
      <c r="W19" s="189"/>
      <c r="X19" s="165"/>
      <c r="Y19" s="173"/>
      <c r="Z19" s="183" t="s">
        <v>33</v>
      </c>
      <c r="AA19" s="190">
        <f>AA17-AA18</f>
        <v>29700</v>
      </c>
      <c r="AB19" s="175"/>
      <c r="AC19" s="181" t="s">
        <v>34</v>
      </c>
      <c r="AD19" s="182">
        <v>0.5</v>
      </c>
      <c r="AE19" s="178">
        <v>0.5</v>
      </c>
      <c r="AF19" s="226"/>
      <c r="AH19" s="165"/>
      <c r="AI19" s="165"/>
      <c r="AJ19" s="169" t="s">
        <v>12</v>
      </c>
      <c r="AK19" s="186" t="s">
        <v>92</v>
      </c>
      <c r="AL19" s="173"/>
      <c r="AM19" s="169" t="s">
        <v>30</v>
      </c>
      <c r="AN19" s="187">
        <f>AN18*0.01</f>
        <v>198.12</v>
      </c>
      <c r="AO19" s="175"/>
      <c r="AP19" s="181" t="s">
        <v>12</v>
      </c>
      <c r="AQ19" s="188"/>
      <c r="AR19" s="178">
        <v>0</v>
      </c>
      <c r="AS19" s="226"/>
      <c r="AT19" s="48"/>
      <c r="AU19" s="54"/>
      <c r="AV19" s="45"/>
      <c r="AW19" s="45"/>
      <c r="AX19" s="45"/>
      <c r="AY19" s="50"/>
    </row>
    <row r="20" spans="1:51">
      <c r="A20" s="165"/>
      <c r="B20" s="165"/>
      <c r="C20" s="165"/>
      <c r="D20" s="173"/>
      <c r="E20" s="169" t="s">
        <v>45</v>
      </c>
      <c r="F20" s="206">
        <f>F16+(F19/10000)</f>
        <v>7.0519999999999999E-2</v>
      </c>
      <c r="G20" s="207">
        <f>F16+(G19/10000)</f>
        <v>7.7520000000000006E-2</v>
      </c>
      <c r="H20" s="167"/>
      <c r="I20" s="165"/>
      <c r="J20" s="165"/>
      <c r="K20" s="165"/>
      <c r="L20" s="165"/>
      <c r="M20" s="165"/>
      <c r="N20" s="173"/>
      <c r="O20" s="169" t="s">
        <v>45</v>
      </c>
      <c r="P20" s="206">
        <f>P16+(P19/10000)</f>
        <v>7.0519999999999999E-2</v>
      </c>
      <c r="Q20" s="207">
        <f>Q16+(Q19/10000)</f>
        <v>7.7520000000000006E-2</v>
      </c>
      <c r="R20" s="167"/>
      <c r="S20" s="165"/>
      <c r="T20" s="165"/>
      <c r="U20" s="235"/>
      <c r="V20" s="165"/>
      <c r="W20" s="165"/>
      <c r="X20" s="165"/>
      <c r="Y20" s="165"/>
      <c r="Z20" s="186" t="s">
        <v>36</v>
      </c>
      <c r="AA20" s="191">
        <f>IF(AA19=1,X32,X33)</f>
        <v>29700</v>
      </c>
      <c r="AB20" s="175"/>
      <c r="AC20" s="181" t="s">
        <v>24</v>
      </c>
      <c r="AD20" s="182">
        <v>-0.6</v>
      </c>
      <c r="AE20" s="178">
        <v>-0.3</v>
      </c>
      <c r="AF20" s="226"/>
      <c r="AH20" s="165"/>
      <c r="AI20" s="165"/>
      <c r="AJ20" s="189"/>
      <c r="AK20" s="165"/>
      <c r="AL20" s="173"/>
      <c r="AM20" s="183" t="s">
        <v>33</v>
      </c>
      <c r="AN20" s="190">
        <f>AN18-AN19</f>
        <v>19613.88</v>
      </c>
      <c r="AO20" s="175"/>
      <c r="AP20" s="181" t="s">
        <v>34</v>
      </c>
      <c r="AQ20" s="182">
        <v>0.5</v>
      </c>
      <c r="AR20" s="178">
        <v>0.5</v>
      </c>
      <c r="AS20" s="226"/>
      <c r="AT20" s="48"/>
      <c r="AU20" s="54"/>
      <c r="AV20" s="45"/>
      <c r="AW20" s="45"/>
      <c r="AX20" s="45"/>
      <c r="AY20" s="237"/>
    </row>
    <row r="21" spans="1:51">
      <c r="A21" s="165"/>
      <c r="B21" s="165"/>
      <c r="C21" s="165"/>
      <c r="D21" s="205"/>
      <c r="E21" s="197" t="s">
        <v>46</v>
      </c>
      <c r="F21" s="208">
        <f>-PV(F20/12,360,C27/12)</f>
        <v>244392.01216659503</v>
      </c>
      <c r="G21" s="209">
        <f>-PV(G20/12,360,F13/12)</f>
        <v>228105.3599690191</v>
      </c>
      <c r="H21" s="167"/>
      <c r="I21" s="165"/>
      <c r="J21" s="165"/>
      <c r="K21" s="165"/>
      <c r="L21" s="165"/>
      <c r="M21" s="165"/>
      <c r="N21" s="205"/>
      <c r="O21" s="197" t="s">
        <v>46</v>
      </c>
      <c r="P21" s="208">
        <f>-PV(P20/12,360,P14/12)</f>
        <v>370066.64471016813</v>
      </c>
      <c r="Q21" s="209">
        <f>-PV(Q20/12,360,Q13/12)</f>
        <v>345404.84550124028</v>
      </c>
      <c r="R21" s="167"/>
      <c r="S21" s="165"/>
      <c r="T21" s="165"/>
      <c r="U21" s="235"/>
      <c r="V21" s="165"/>
      <c r="W21" s="165"/>
      <c r="X21" s="165"/>
      <c r="Y21" s="173"/>
      <c r="Z21" s="192" t="s">
        <v>37</v>
      </c>
      <c r="AA21" s="193">
        <f>AA31/X11</f>
        <v>8.9268922066946768E-2</v>
      </c>
      <c r="AB21" s="194"/>
      <c r="AC21" s="181" t="s">
        <v>38</v>
      </c>
      <c r="AD21" s="182">
        <v>0</v>
      </c>
      <c r="AE21" s="195">
        <v>0</v>
      </c>
      <c r="AF21" s="226"/>
      <c r="AH21" s="165"/>
      <c r="AI21" s="165"/>
      <c r="AJ21" s="165"/>
      <c r="AK21" s="165"/>
      <c r="AL21" s="165"/>
      <c r="AM21" s="186" t="s">
        <v>36</v>
      </c>
      <c r="AN21" s="191">
        <f>IF(AN20=1,AK33,AK34)</f>
        <v>19613.88</v>
      </c>
      <c r="AO21" s="175"/>
      <c r="AP21" s="181" t="s">
        <v>24</v>
      </c>
      <c r="AQ21" s="182">
        <v>-0.6</v>
      </c>
      <c r="AR21" s="178">
        <v>-0.3</v>
      </c>
      <c r="AS21" s="226"/>
      <c r="AT21" s="48"/>
      <c r="AU21" s="54"/>
      <c r="AV21" s="45"/>
      <c r="AW21" s="45"/>
      <c r="AX21" s="45"/>
      <c r="AY21" s="237"/>
    </row>
    <row r="22" spans="1:51">
      <c r="A22" s="165"/>
      <c r="B22" s="165"/>
      <c r="C22" s="165"/>
      <c r="D22" s="173"/>
      <c r="E22" s="169" t="s">
        <v>47</v>
      </c>
      <c r="F22" s="210">
        <f>F25/C5</f>
        <v>0.8</v>
      </c>
      <c r="G22" s="194">
        <f>G25/C5</f>
        <v>0.7</v>
      </c>
      <c r="H22" s="171"/>
      <c r="I22" s="165"/>
      <c r="J22" s="165"/>
      <c r="K22" s="165"/>
      <c r="L22" s="165"/>
      <c r="M22" s="165"/>
      <c r="N22" s="173"/>
      <c r="O22" s="169" t="s">
        <v>47</v>
      </c>
      <c r="P22" s="210">
        <f>P25/M5</f>
        <v>0.8</v>
      </c>
      <c r="Q22" s="194">
        <f>Q25/M5</f>
        <v>0.7</v>
      </c>
      <c r="R22" s="171"/>
      <c r="S22" s="165"/>
      <c r="T22" s="165"/>
      <c r="U22" s="235"/>
      <c r="V22" s="165"/>
      <c r="W22" s="165"/>
      <c r="X22" s="165"/>
      <c r="Y22" s="196"/>
      <c r="Z22" s="197" t="s">
        <v>135</v>
      </c>
      <c r="AA22" s="198">
        <v>4.3360000000000003E-2</v>
      </c>
      <c r="AB22" s="175"/>
      <c r="AC22" s="199" t="s">
        <v>40</v>
      </c>
      <c r="AD22" s="200">
        <v>-0.6</v>
      </c>
      <c r="AE22" s="195">
        <v>-0.6</v>
      </c>
      <c r="AF22" s="226"/>
      <c r="AH22" s="165"/>
      <c r="AI22" s="165"/>
      <c r="AJ22" s="165"/>
      <c r="AK22" s="165"/>
      <c r="AL22" s="173"/>
      <c r="AM22" s="192" t="s">
        <v>37</v>
      </c>
      <c r="AN22" s="193">
        <f>AN32/AK12</f>
        <v>0.8</v>
      </c>
      <c r="AO22" s="194"/>
      <c r="AP22" s="181" t="s">
        <v>38</v>
      </c>
      <c r="AQ22" s="182">
        <v>0</v>
      </c>
      <c r="AR22" s="195">
        <v>0</v>
      </c>
      <c r="AS22" s="226"/>
      <c r="AT22" s="48"/>
      <c r="AU22" s="54"/>
      <c r="AV22" s="45"/>
      <c r="AW22" s="45"/>
      <c r="AX22" s="45"/>
      <c r="AY22" s="238"/>
    </row>
    <row r="23" spans="1:51">
      <c r="A23" s="165"/>
      <c r="B23" s="165"/>
      <c r="C23" s="165"/>
      <c r="D23" s="165"/>
      <c r="E23" s="211" t="s">
        <v>19</v>
      </c>
      <c r="F23" s="212">
        <f>F9</f>
        <v>184000</v>
      </c>
      <c r="G23" s="213">
        <f>G9</f>
        <v>161000</v>
      </c>
      <c r="H23" s="167"/>
      <c r="I23" s="165"/>
      <c r="J23" s="165"/>
      <c r="K23" s="165"/>
      <c r="L23" s="165"/>
      <c r="M23" s="165"/>
      <c r="N23" s="165"/>
      <c r="O23" s="211" t="s">
        <v>19</v>
      </c>
      <c r="P23" s="212">
        <f>P9</f>
        <v>200000</v>
      </c>
      <c r="Q23" s="213">
        <f>Q9</f>
        <v>175000</v>
      </c>
      <c r="R23" s="167"/>
      <c r="S23" s="165"/>
      <c r="T23" s="165"/>
      <c r="U23" s="235"/>
      <c r="V23" s="165"/>
      <c r="W23" s="165"/>
      <c r="X23" s="165"/>
      <c r="Y23" s="201"/>
      <c r="Z23" s="201" t="s">
        <v>138</v>
      </c>
      <c r="AA23" s="191">
        <v>102</v>
      </c>
      <c r="AB23" s="175">
        <f>AA23-(AE23)+0.15</f>
        <v>105.85000000000001</v>
      </c>
      <c r="AC23" s="181" t="s">
        <v>42</v>
      </c>
      <c r="AD23" s="202">
        <f>SUM(AD14:AD22)</f>
        <v>-1.0499999999999998</v>
      </c>
      <c r="AE23" s="203">
        <f>SUM(AE14:AE22)</f>
        <v>-3.7</v>
      </c>
      <c r="AF23" s="226"/>
      <c r="AH23" s="165"/>
      <c r="AI23" s="165"/>
      <c r="AJ23" s="165"/>
      <c r="AK23" s="165"/>
      <c r="AL23" s="196"/>
      <c r="AM23" s="197" t="s">
        <v>135</v>
      </c>
      <c r="AN23" s="198">
        <v>4.342E-2</v>
      </c>
      <c r="AO23" s="175"/>
      <c r="AP23" s="199" t="s">
        <v>40</v>
      </c>
      <c r="AQ23" s="200">
        <v>-0.6</v>
      </c>
      <c r="AR23" s="195">
        <v>-0.6</v>
      </c>
      <c r="AS23" s="226"/>
      <c r="AU23" s="165"/>
      <c r="AV23" s="45"/>
      <c r="AW23" s="45"/>
      <c r="AX23" s="45"/>
      <c r="AY23" s="48"/>
    </row>
    <row r="24" spans="1:51">
      <c r="A24" s="165"/>
      <c r="B24" s="165"/>
      <c r="C24" s="165"/>
      <c r="D24" s="165"/>
      <c r="E24" s="214" t="s">
        <v>46</v>
      </c>
      <c r="F24" s="212">
        <f>F21</f>
        <v>244392.01216659503</v>
      </c>
      <c r="G24" s="215">
        <f>G21</f>
        <v>228105.3599690191</v>
      </c>
      <c r="H24" s="167"/>
      <c r="I24" s="165"/>
      <c r="J24" s="165"/>
      <c r="K24" s="165"/>
      <c r="L24" s="165"/>
      <c r="M24" s="165"/>
      <c r="N24" s="165"/>
      <c r="O24" s="214" t="s">
        <v>46</v>
      </c>
      <c r="P24" s="212">
        <f>P21</f>
        <v>370066.64471016813</v>
      </c>
      <c r="Q24" s="215">
        <f>Q21</f>
        <v>345404.84550124028</v>
      </c>
      <c r="R24" s="167"/>
      <c r="S24" s="165"/>
      <c r="T24" s="165"/>
      <c r="U24" s="235"/>
      <c r="V24" s="165"/>
      <c r="W24" s="165"/>
      <c r="X24" s="165"/>
      <c r="Y24" s="173"/>
      <c r="Z24" s="169" t="s">
        <v>43</v>
      </c>
      <c r="AA24" s="204">
        <f>AA23-(AD23)+0.15</f>
        <v>103.2</v>
      </c>
      <c r="AB24" s="175"/>
      <c r="AC24" s="167"/>
      <c r="AD24" s="165"/>
      <c r="AE24" s="165"/>
      <c r="AF24" s="226"/>
      <c r="AH24" s="165"/>
      <c r="AI24" s="165"/>
      <c r="AJ24" s="165"/>
      <c r="AK24" s="165"/>
      <c r="AL24" s="201"/>
      <c r="AM24" s="201" t="s">
        <v>138</v>
      </c>
      <c r="AN24" s="191">
        <v>102</v>
      </c>
      <c r="AO24" s="175"/>
      <c r="AP24" s="181" t="s">
        <v>42</v>
      </c>
      <c r="AQ24" s="202">
        <f>SUM(AQ15:AQ23)</f>
        <v>-1.2</v>
      </c>
      <c r="AR24" s="203">
        <f>SUM(AR15:AR23)</f>
        <v>-3.7</v>
      </c>
      <c r="AS24" s="226"/>
      <c r="AU24" s="165"/>
      <c r="AV24" s="45"/>
      <c r="AW24" s="45"/>
      <c r="AX24" s="45"/>
      <c r="AY24" s="50"/>
    </row>
    <row r="25" spans="1:51">
      <c r="A25" s="165"/>
      <c r="B25" s="165"/>
      <c r="C25" s="165"/>
      <c r="D25" s="205"/>
      <c r="E25" s="186" t="s">
        <v>48</v>
      </c>
      <c r="F25" s="216">
        <f>MIN(F23:F24)</f>
        <v>184000</v>
      </c>
      <c r="G25" s="213">
        <f>MIN(G23:G24)</f>
        <v>161000</v>
      </c>
      <c r="H25" s="167"/>
      <c r="I25" s="165"/>
      <c r="J25" s="165"/>
      <c r="K25" s="165"/>
      <c r="L25" s="165"/>
      <c r="M25" s="165"/>
      <c r="N25" s="205"/>
      <c r="O25" s="186" t="s">
        <v>48</v>
      </c>
      <c r="P25" s="216">
        <f>MIN(P23:P24)</f>
        <v>200000</v>
      </c>
      <c r="Q25" s="213">
        <f>MIN(Q23:Q24)</f>
        <v>175000</v>
      </c>
      <c r="R25" s="167"/>
      <c r="S25" s="165"/>
      <c r="T25" s="165"/>
      <c r="U25" s="235"/>
      <c r="V25" s="165"/>
      <c r="W25" s="165"/>
      <c r="X25" s="165"/>
      <c r="Y25" s="205"/>
      <c r="Z25" s="169" t="s">
        <v>44</v>
      </c>
      <c r="AA25" s="180">
        <v>307.5</v>
      </c>
      <c r="AB25" s="175">
        <v>377.5</v>
      </c>
      <c r="AC25" s="167"/>
      <c r="AD25" s="165"/>
      <c r="AE25" s="165"/>
      <c r="AF25" s="226"/>
      <c r="AH25" s="165"/>
      <c r="AI25" s="165"/>
      <c r="AJ25" s="165"/>
      <c r="AK25" s="165"/>
      <c r="AL25" s="173"/>
      <c r="AM25" s="169" t="s">
        <v>43</v>
      </c>
      <c r="AN25" s="204">
        <f>AN24-(AQ24)+0.15</f>
        <v>103.35000000000001</v>
      </c>
      <c r="AO25" s="175"/>
      <c r="AP25" s="167"/>
      <c r="AQ25" s="165"/>
      <c r="AR25" s="165"/>
      <c r="AS25" s="226"/>
      <c r="AU25" s="165"/>
      <c r="AV25" s="45"/>
      <c r="AW25" s="45"/>
      <c r="AX25" s="45"/>
      <c r="AY25" s="63"/>
    </row>
    <row r="26" spans="1:51">
      <c r="A26" s="165"/>
      <c r="B26" s="173" t="s">
        <v>54</v>
      </c>
      <c r="C26" s="165">
        <f>F13/1.2</f>
        <v>16344.900000000001</v>
      </c>
      <c r="D26" s="165"/>
      <c r="E26" s="217" t="s">
        <v>150</v>
      </c>
      <c r="F26" s="217"/>
      <c r="G26" s="218"/>
      <c r="H26" s="167"/>
      <c r="I26" s="165"/>
      <c r="J26" s="165"/>
      <c r="K26" s="165"/>
      <c r="L26" s="173" t="s">
        <v>54</v>
      </c>
      <c r="M26" s="165">
        <f>P14/1.2</f>
        <v>24750</v>
      </c>
      <c r="N26" s="165"/>
      <c r="O26" s="281" t="s">
        <v>150</v>
      </c>
      <c r="P26" s="217"/>
      <c r="Q26" s="218"/>
      <c r="R26" s="167"/>
      <c r="S26" s="165"/>
      <c r="T26" s="165"/>
      <c r="U26" s="235"/>
      <c r="V26" s="165"/>
      <c r="W26" s="165"/>
      <c r="X26" s="165"/>
      <c r="Y26" s="173"/>
      <c r="Z26" s="169" t="s">
        <v>45</v>
      </c>
      <c r="AA26" s="206">
        <f>AA22+(AA25/10000)</f>
        <v>7.4110000000000009E-2</v>
      </c>
      <c r="AB26" s="207">
        <f>AA22+(AB25/10000)</f>
        <v>8.1110000000000002E-2</v>
      </c>
      <c r="AC26" s="167"/>
      <c r="AD26" s="165"/>
      <c r="AE26" s="165"/>
      <c r="AF26" s="226"/>
      <c r="AH26" s="165"/>
      <c r="AI26" s="165"/>
      <c r="AJ26" s="165"/>
      <c r="AK26" s="165"/>
      <c r="AL26" s="205"/>
      <c r="AM26" s="169" t="s">
        <v>44</v>
      </c>
      <c r="AN26" s="180">
        <v>307.5</v>
      </c>
      <c r="AO26" s="175"/>
      <c r="AP26" s="167"/>
      <c r="AQ26" s="165"/>
      <c r="AR26" s="165"/>
      <c r="AS26" s="226"/>
      <c r="AU26" s="165"/>
      <c r="AV26" s="45"/>
      <c r="AW26" s="45"/>
      <c r="AX26" s="45"/>
      <c r="AY26" s="50"/>
    </row>
    <row r="27" spans="1:51">
      <c r="A27" s="165"/>
      <c r="B27" s="173" t="s">
        <v>55</v>
      </c>
      <c r="C27" s="165">
        <f>F13/1</f>
        <v>19613.88</v>
      </c>
      <c r="D27" s="165"/>
      <c r="E27" s="186" t="s">
        <v>152</v>
      </c>
      <c r="F27" s="186"/>
      <c r="G27" s="219"/>
      <c r="H27" s="167"/>
      <c r="I27" s="165"/>
      <c r="J27" s="165"/>
      <c r="K27" s="165"/>
      <c r="L27" s="173" t="s">
        <v>55</v>
      </c>
      <c r="M27" s="165">
        <f>P13/1</f>
        <v>29700</v>
      </c>
      <c r="N27" s="165"/>
      <c r="O27" s="201" t="s">
        <v>152</v>
      </c>
      <c r="P27" s="186"/>
      <c r="Q27" s="219"/>
      <c r="R27" s="167"/>
      <c r="S27" s="165"/>
      <c r="T27" s="165"/>
      <c r="U27" s="235"/>
      <c r="V27" s="165"/>
      <c r="W27" s="165"/>
      <c r="X27" s="165"/>
      <c r="Y27" s="205"/>
      <c r="Z27" s="197" t="s">
        <v>46</v>
      </c>
      <c r="AA27" s="208">
        <f>-PV(AA26/12,360,X33/12)</f>
        <v>357075.68826778705</v>
      </c>
      <c r="AB27" s="209">
        <f>-PV(AB26/12,360,AA20/12)</f>
        <v>333775.09128482698</v>
      </c>
      <c r="AC27" s="167"/>
      <c r="AD27" s="165"/>
      <c r="AE27" s="165"/>
      <c r="AF27" s="226"/>
      <c r="AH27" s="165"/>
      <c r="AI27" s="165"/>
      <c r="AJ27" s="165"/>
      <c r="AK27" s="165"/>
      <c r="AL27" s="173"/>
      <c r="AM27" s="169" t="s">
        <v>45</v>
      </c>
      <c r="AN27" s="206">
        <f>AN23+(AN26/10000)</f>
        <v>7.417E-2</v>
      </c>
      <c r="AO27" s="207"/>
      <c r="AP27" s="167"/>
      <c r="AQ27" s="165"/>
      <c r="AR27" s="165"/>
      <c r="AS27" s="226"/>
      <c r="AU27" s="165"/>
      <c r="AV27" s="45"/>
      <c r="AW27" s="45"/>
      <c r="AX27" s="45"/>
      <c r="AY27" s="63"/>
    </row>
    <row r="28" spans="1:51">
      <c r="A28" s="165"/>
      <c r="B28" s="165"/>
      <c r="C28" s="165"/>
      <c r="D28" s="165"/>
      <c r="E28" s="186" t="s">
        <v>48</v>
      </c>
      <c r="F28" s="212">
        <f>F25</f>
        <v>184000</v>
      </c>
      <c r="G28" s="219">
        <f>G25</f>
        <v>161000</v>
      </c>
      <c r="H28" s="167"/>
      <c r="I28" s="165"/>
      <c r="J28" s="165"/>
      <c r="K28" s="165"/>
      <c r="L28" s="165"/>
      <c r="M28" s="165"/>
      <c r="N28" s="165"/>
      <c r="O28" s="186" t="s">
        <v>48</v>
      </c>
      <c r="P28" s="212">
        <f>P25</f>
        <v>200000</v>
      </c>
      <c r="Q28" s="219">
        <f>Q25</f>
        <v>175000</v>
      </c>
      <c r="R28" s="167"/>
      <c r="S28" s="165"/>
      <c r="T28" s="165"/>
      <c r="U28" s="235"/>
      <c r="V28" s="165"/>
      <c r="W28" s="165"/>
      <c r="X28" s="165"/>
      <c r="Y28" s="173"/>
      <c r="Z28" s="169" t="s">
        <v>47</v>
      </c>
      <c r="AA28" s="210">
        <f>AA31/X11</f>
        <v>8.9268922066946768E-2</v>
      </c>
      <c r="AB28" s="194"/>
      <c r="AC28" s="171"/>
      <c r="AD28" s="165"/>
      <c r="AE28" s="165"/>
      <c r="AF28" s="226"/>
      <c r="AH28" s="165"/>
      <c r="AI28" s="165"/>
      <c r="AJ28" s="165"/>
      <c r="AK28" s="165"/>
      <c r="AL28" s="205"/>
      <c r="AM28" s="197" t="s">
        <v>46</v>
      </c>
      <c r="AN28" s="208">
        <f>-PV(AN27/12,360,AK34/12)</f>
        <v>235673.5397684061</v>
      </c>
      <c r="AO28" s="209"/>
      <c r="AP28" s="167"/>
      <c r="AQ28" s="165"/>
      <c r="AR28" s="165"/>
      <c r="AS28" s="226"/>
      <c r="AU28" s="165"/>
      <c r="AV28" s="45"/>
      <c r="AW28" s="45"/>
      <c r="AX28" s="45"/>
      <c r="AY28" s="63"/>
    </row>
    <row r="29" spans="1:51">
      <c r="A29" s="165"/>
      <c r="B29" s="165"/>
      <c r="C29" s="165"/>
      <c r="D29" s="165"/>
      <c r="E29" s="186" t="s">
        <v>51</v>
      </c>
      <c r="F29" s="220">
        <f>F22</f>
        <v>0.8</v>
      </c>
      <c r="G29" s="221">
        <f>G22</f>
        <v>0.7</v>
      </c>
      <c r="H29" s="167"/>
      <c r="I29" s="165"/>
      <c r="J29" s="165"/>
      <c r="K29" s="165"/>
      <c r="L29" s="165"/>
      <c r="M29" s="165"/>
      <c r="N29" s="165"/>
      <c r="O29" s="186" t="s">
        <v>51</v>
      </c>
      <c r="P29" s="220">
        <f>P22</f>
        <v>0.8</v>
      </c>
      <c r="Q29" s="221">
        <f>Q22</f>
        <v>0.7</v>
      </c>
      <c r="R29" s="167"/>
      <c r="S29" s="165"/>
      <c r="T29" s="165"/>
      <c r="U29" s="235"/>
      <c r="V29" s="165"/>
      <c r="W29" s="165"/>
      <c r="X29" s="165"/>
      <c r="Y29" s="165"/>
      <c r="Z29" s="211" t="s">
        <v>19</v>
      </c>
      <c r="AA29" s="212">
        <f>AA15</f>
        <v>3200000</v>
      </c>
      <c r="AB29" s="213"/>
      <c r="AC29" s="167"/>
      <c r="AD29" s="165"/>
      <c r="AE29" s="165"/>
      <c r="AF29" s="226"/>
      <c r="AH29" s="165"/>
      <c r="AI29" s="165"/>
      <c r="AJ29" s="165"/>
      <c r="AK29" s="165"/>
      <c r="AL29" s="173"/>
      <c r="AM29" s="169" t="s">
        <v>47</v>
      </c>
      <c r="AN29" s="210">
        <f>AN32/AK12</f>
        <v>0.8</v>
      </c>
      <c r="AO29" s="194"/>
      <c r="AP29" s="171"/>
      <c r="AQ29" s="165"/>
      <c r="AR29" s="165"/>
      <c r="AS29" s="226"/>
      <c r="AU29" s="165"/>
      <c r="AV29" s="45"/>
      <c r="AW29" s="45"/>
      <c r="AX29" s="45"/>
      <c r="AY29" s="50"/>
    </row>
    <row r="30" spans="1:51">
      <c r="A30" s="165"/>
      <c r="B30" s="165"/>
      <c r="C30" s="165"/>
      <c r="D30" s="165"/>
      <c r="E30" s="186" t="s">
        <v>37</v>
      </c>
      <c r="F30" s="220">
        <f>F15</f>
        <v>0.8</v>
      </c>
      <c r="G30" s="221">
        <f>G15</f>
        <v>0.7</v>
      </c>
      <c r="H30" s="167"/>
      <c r="I30" s="165"/>
      <c r="J30" s="165"/>
      <c r="K30" s="165"/>
      <c r="L30" s="165"/>
      <c r="M30" s="165"/>
      <c r="N30" s="165"/>
      <c r="O30" s="186" t="s">
        <v>37</v>
      </c>
      <c r="P30" s="220">
        <f>P15</f>
        <v>0.8</v>
      </c>
      <c r="Q30" s="221">
        <f>Q15</f>
        <v>0.7</v>
      </c>
      <c r="R30" s="167"/>
      <c r="S30" s="165"/>
      <c r="T30" s="165"/>
      <c r="U30" s="235"/>
      <c r="V30" s="165"/>
      <c r="W30" s="165"/>
      <c r="X30" s="165"/>
      <c r="Y30" s="165"/>
      <c r="Z30" s="214" t="s">
        <v>46</v>
      </c>
      <c r="AA30" s="212">
        <f>AA27</f>
        <v>357075.68826778705</v>
      </c>
      <c r="AB30" s="215"/>
      <c r="AC30" s="167"/>
      <c r="AD30" s="165"/>
      <c r="AE30" s="165"/>
      <c r="AF30" s="226"/>
      <c r="AH30" s="165"/>
      <c r="AI30" s="165"/>
      <c r="AJ30" s="165"/>
      <c r="AK30" s="165"/>
      <c r="AL30" s="165"/>
      <c r="AM30" s="211" t="s">
        <v>19</v>
      </c>
      <c r="AN30" s="212">
        <f>AN16</f>
        <v>184000</v>
      </c>
      <c r="AO30" s="213"/>
      <c r="AP30" s="167"/>
      <c r="AQ30" s="165"/>
      <c r="AR30" s="165"/>
      <c r="AS30" s="226"/>
      <c r="AU30" s="165"/>
      <c r="AV30" s="45"/>
      <c r="AW30" s="45"/>
      <c r="AX30" s="45"/>
      <c r="AY30" s="45"/>
    </row>
    <row r="31" spans="1:51">
      <c r="A31" s="165"/>
      <c r="B31" s="165"/>
      <c r="C31" s="165"/>
      <c r="D31" s="165"/>
      <c r="E31" s="186" t="s">
        <v>52</v>
      </c>
      <c r="F31" s="222">
        <f>F20</f>
        <v>7.0519999999999999E-2</v>
      </c>
      <c r="G31" s="223">
        <f>G20</f>
        <v>7.7520000000000006E-2</v>
      </c>
      <c r="H31" s="167"/>
      <c r="I31" s="165"/>
      <c r="J31" s="165"/>
      <c r="K31" s="165"/>
      <c r="L31" s="165"/>
      <c r="M31" s="165"/>
      <c r="N31" s="165"/>
      <c r="O31" s="186" t="s">
        <v>52</v>
      </c>
      <c r="P31" s="222">
        <f>P20</f>
        <v>7.0519999999999999E-2</v>
      </c>
      <c r="Q31" s="223">
        <f>Q20</f>
        <v>7.7520000000000006E-2</v>
      </c>
      <c r="R31" s="167"/>
      <c r="S31" s="165"/>
      <c r="T31" s="165"/>
      <c r="U31" s="235"/>
      <c r="V31" s="165"/>
      <c r="W31" s="165"/>
      <c r="X31" s="165"/>
      <c r="Y31" s="205"/>
      <c r="Z31" s="186" t="s">
        <v>48</v>
      </c>
      <c r="AA31" s="216">
        <f>MIN(AA29:AA30)</f>
        <v>357075.68826778705</v>
      </c>
      <c r="AB31" s="213"/>
      <c r="AC31" s="167"/>
      <c r="AD31" s="165"/>
      <c r="AE31" s="165"/>
      <c r="AF31" s="226"/>
      <c r="AH31" s="165"/>
      <c r="AI31" s="165"/>
      <c r="AJ31" s="165"/>
      <c r="AK31" s="165"/>
      <c r="AL31" s="165"/>
      <c r="AM31" s="214" t="s">
        <v>46</v>
      </c>
      <c r="AN31" s="212">
        <f>AN28</f>
        <v>235673.5397684061</v>
      </c>
      <c r="AO31" s="215"/>
      <c r="AP31" s="167"/>
      <c r="AQ31" s="165"/>
      <c r="AR31" s="165"/>
      <c r="AS31" s="226"/>
      <c r="AU31" s="165"/>
      <c r="AV31" s="45"/>
      <c r="AW31" s="45"/>
      <c r="AX31" s="45"/>
      <c r="AY31" s="45"/>
    </row>
    <row r="32" spans="1:51">
      <c r="A32" s="165"/>
      <c r="B32" s="165"/>
      <c r="C32" s="165"/>
      <c r="D32" s="165"/>
      <c r="E32" s="186" t="s">
        <v>53</v>
      </c>
      <c r="F32" s="186">
        <v>360</v>
      </c>
      <c r="G32" s="219">
        <v>360</v>
      </c>
      <c r="H32" s="167"/>
      <c r="I32" s="165"/>
      <c r="J32" s="165"/>
      <c r="K32" s="165"/>
      <c r="L32" s="165"/>
      <c r="M32" s="165"/>
      <c r="N32" s="165"/>
      <c r="O32" s="186" t="s">
        <v>53</v>
      </c>
      <c r="P32" s="186" t="s">
        <v>156</v>
      </c>
      <c r="Q32" s="219" t="s">
        <v>156</v>
      </c>
      <c r="R32" s="167"/>
      <c r="S32" s="165"/>
      <c r="T32" s="165"/>
      <c r="U32" s="235"/>
      <c r="V32" s="165"/>
      <c r="W32" s="173" t="s">
        <v>54</v>
      </c>
      <c r="X32" s="165">
        <f>AA19/1.2</f>
        <v>24750</v>
      </c>
      <c r="Y32" s="165"/>
      <c r="Z32" s="217" t="s">
        <v>150</v>
      </c>
      <c r="AA32" s="217"/>
      <c r="AB32" s="218"/>
      <c r="AC32" s="167"/>
      <c r="AD32" s="165"/>
      <c r="AE32" s="165"/>
      <c r="AF32" s="226"/>
      <c r="AH32" s="165"/>
      <c r="AI32" s="165"/>
      <c r="AJ32" s="165"/>
      <c r="AK32" s="165"/>
      <c r="AL32" s="205"/>
      <c r="AM32" s="186" t="s">
        <v>48</v>
      </c>
      <c r="AN32" s="216">
        <f>MIN(AN30:AN31)</f>
        <v>184000</v>
      </c>
      <c r="AO32" s="213"/>
      <c r="AP32" s="167"/>
      <c r="AQ32" s="165"/>
      <c r="AR32" s="165"/>
      <c r="AS32" s="226"/>
      <c r="AU32" s="165"/>
      <c r="AV32" s="45"/>
      <c r="AW32" s="45"/>
      <c r="AX32" s="45"/>
      <c r="AY32" s="45"/>
    </row>
    <row r="33" spans="1:51">
      <c r="A33" s="45"/>
      <c r="B33" s="45"/>
      <c r="C33" s="45"/>
      <c r="D33" s="45"/>
      <c r="E33" s="45"/>
      <c r="F33" s="45"/>
      <c r="G33" s="87"/>
      <c r="H33" s="85"/>
      <c r="I33" s="45"/>
      <c r="J33" s="45"/>
      <c r="K33" s="45"/>
      <c r="L33" s="45"/>
      <c r="M33" s="45"/>
      <c r="N33" s="45"/>
      <c r="O33" s="45"/>
      <c r="P33" s="45"/>
      <c r="Q33" s="87"/>
      <c r="R33" s="85"/>
      <c r="S33" s="45"/>
      <c r="T33" s="45"/>
      <c r="U33" s="235"/>
      <c r="V33" s="165"/>
      <c r="W33" s="173" t="s">
        <v>55</v>
      </c>
      <c r="X33" s="165">
        <f>AA19/1</f>
        <v>29700</v>
      </c>
      <c r="Y33" s="165"/>
      <c r="Z33" s="186" t="s">
        <v>152</v>
      </c>
      <c r="AA33" s="186"/>
      <c r="AB33" s="219"/>
      <c r="AC33" s="167"/>
      <c r="AD33" s="165"/>
      <c r="AE33" s="165"/>
      <c r="AF33" s="226"/>
      <c r="AI33" s="165"/>
      <c r="AJ33" s="173" t="s">
        <v>54</v>
      </c>
      <c r="AK33" s="165">
        <f>AN20/1.2</f>
        <v>16344.900000000001</v>
      </c>
      <c r="AL33" s="165"/>
      <c r="AM33" s="217" t="s">
        <v>150</v>
      </c>
      <c r="AN33" s="217"/>
      <c r="AO33" s="218"/>
      <c r="AP33" s="167"/>
      <c r="AQ33" s="165"/>
      <c r="AR33" s="165"/>
      <c r="AS33" s="226"/>
      <c r="AU33" s="165"/>
      <c r="AV33" s="45"/>
      <c r="AW33" s="45"/>
      <c r="AX33" s="45"/>
      <c r="AY33" s="45"/>
    </row>
    <row r="34" spans="1:51">
      <c r="A34" s="45"/>
      <c r="B34" s="45"/>
      <c r="C34" s="45"/>
      <c r="D34" s="45"/>
      <c r="E34" s="45"/>
      <c r="F34" s="45"/>
      <c r="G34" s="87"/>
      <c r="H34" s="85"/>
      <c r="I34" s="45"/>
      <c r="J34" s="45"/>
      <c r="K34" s="45"/>
      <c r="L34" s="45"/>
      <c r="M34" s="45"/>
      <c r="N34" s="45"/>
      <c r="O34" s="45"/>
      <c r="P34" s="45"/>
      <c r="Q34" s="87"/>
      <c r="R34" s="85"/>
      <c r="S34" s="45"/>
      <c r="T34" s="45"/>
      <c r="U34" s="235"/>
      <c r="V34" s="165"/>
      <c r="W34" s="165"/>
      <c r="X34" s="165"/>
      <c r="Y34" s="165"/>
      <c r="Z34" s="186" t="s">
        <v>48</v>
      </c>
      <c r="AA34" s="212">
        <f>AA31</f>
        <v>357075.68826778705</v>
      </c>
      <c r="AB34" s="219"/>
      <c r="AC34" s="167"/>
      <c r="AD34" s="165"/>
      <c r="AE34" s="165"/>
      <c r="AF34" s="226"/>
      <c r="AI34" s="165"/>
      <c r="AJ34" s="173" t="s">
        <v>55</v>
      </c>
      <c r="AK34" s="165">
        <f>AN20/1</f>
        <v>19613.88</v>
      </c>
      <c r="AL34" s="165"/>
      <c r="AM34" s="186" t="s">
        <v>152</v>
      </c>
      <c r="AN34" s="186"/>
      <c r="AO34" s="219"/>
      <c r="AP34" s="167"/>
      <c r="AQ34" s="165"/>
      <c r="AR34" s="165"/>
      <c r="AS34" s="226"/>
      <c r="AV34" s="45"/>
      <c r="AW34" s="45"/>
      <c r="AX34" s="45"/>
      <c r="AY34" s="45"/>
    </row>
    <row r="35" spans="1:51">
      <c r="A35" s="45"/>
      <c r="B35" s="45"/>
      <c r="C35" s="45"/>
      <c r="D35" s="50"/>
      <c r="E35" s="50" t="s">
        <v>54</v>
      </c>
      <c r="F35" s="50"/>
      <c r="G35" s="87"/>
      <c r="H35" s="85"/>
      <c r="I35" s="45"/>
      <c r="J35" s="45"/>
      <c r="K35" s="45"/>
      <c r="L35" s="45"/>
      <c r="M35" s="45"/>
      <c r="N35" s="50"/>
      <c r="O35" s="50" t="s">
        <v>54</v>
      </c>
      <c r="P35" s="50"/>
      <c r="Q35" s="87"/>
      <c r="R35" s="85"/>
      <c r="S35" s="45"/>
      <c r="T35" s="45"/>
      <c r="U35" s="235"/>
      <c r="V35" s="165"/>
      <c r="W35" s="165"/>
      <c r="X35" s="165"/>
      <c r="Y35" s="165"/>
      <c r="Z35" s="186" t="s">
        <v>51</v>
      </c>
      <c r="AA35" s="220">
        <f>AA28</f>
        <v>8.9268922066946768E-2</v>
      </c>
      <c r="AB35" s="221"/>
      <c r="AC35" s="167"/>
      <c r="AD35" s="165"/>
      <c r="AE35" s="165"/>
      <c r="AF35" s="226"/>
      <c r="AI35" s="165"/>
      <c r="AJ35" s="165"/>
      <c r="AK35" s="165"/>
      <c r="AL35" s="165"/>
      <c r="AM35" s="186" t="s">
        <v>48</v>
      </c>
      <c r="AN35" s="212">
        <f>AN32</f>
        <v>184000</v>
      </c>
      <c r="AO35" s="219"/>
      <c r="AP35" s="167"/>
      <c r="AQ35" s="165"/>
      <c r="AR35" s="165"/>
      <c r="AS35" s="226"/>
      <c r="AV35" s="45"/>
      <c r="AW35" s="45"/>
      <c r="AX35" s="45"/>
      <c r="AY35" s="63"/>
    </row>
    <row r="36" spans="1:51">
      <c r="A36" s="45"/>
      <c r="B36" s="45"/>
      <c r="C36" s="45"/>
      <c r="D36" s="50"/>
      <c r="E36" s="50" t="s">
        <v>55</v>
      </c>
      <c r="F36" s="50"/>
      <c r="G36" s="87"/>
      <c r="H36" s="85"/>
      <c r="I36" s="45"/>
      <c r="J36" s="45"/>
      <c r="K36" s="45"/>
      <c r="L36" s="45"/>
      <c r="M36" s="45"/>
      <c r="N36" s="50"/>
      <c r="O36" s="50" t="s">
        <v>55</v>
      </c>
      <c r="P36" s="50"/>
      <c r="Q36" s="87"/>
      <c r="R36" s="85"/>
      <c r="S36" s="45"/>
      <c r="T36" s="45"/>
      <c r="U36" s="235"/>
      <c r="V36" s="165"/>
      <c r="W36" s="165"/>
      <c r="X36" s="165"/>
      <c r="Y36" s="165"/>
      <c r="Z36" s="186" t="s">
        <v>37</v>
      </c>
      <c r="AA36" s="220">
        <f>AA21</f>
        <v>8.9268922066946768E-2</v>
      </c>
      <c r="AB36" s="221"/>
      <c r="AC36" s="167"/>
      <c r="AD36" s="165"/>
      <c r="AE36" s="165"/>
      <c r="AF36" s="226"/>
      <c r="AI36" s="165"/>
      <c r="AJ36" s="165"/>
      <c r="AK36" s="165"/>
      <c r="AL36" s="165"/>
      <c r="AM36" s="186" t="s">
        <v>51</v>
      </c>
      <c r="AN36" s="220">
        <f>AN29</f>
        <v>0.8</v>
      </c>
      <c r="AO36" s="221"/>
      <c r="AP36" s="167"/>
      <c r="AQ36" s="165"/>
      <c r="AR36" s="165"/>
      <c r="AS36" s="226"/>
      <c r="AV36" s="45"/>
      <c r="AW36" s="45"/>
      <c r="AX36" s="45"/>
      <c r="AY36" s="63"/>
    </row>
    <row r="37" spans="1:51">
      <c r="A37" s="45"/>
      <c r="B37" s="45"/>
      <c r="C37" s="45"/>
      <c r="D37" s="45"/>
      <c r="E37" s="45"/>
      <c r="F37" s="45"/>
      <c r="G37" s="87"/>
      <c r="H37" s="85"/>
      <c r="I37" s="45"/>
      <c r="J37" s="45"/>
      <c r="K37" s="45"/>
      <c r="L37" s="45"/>
      <c r="M37" s="45"/>
      <c r="N37" s="45"/>
      <c r="O37" s="45"/>
      <c r="P37" s="45"/>
      <c r="Q37" s="87"/>
      <c r="R37" s="85"/>
      <c r="S37" s="45"/>
      <c r="T37" s="45"/>
      <c r="U37" s="235"/>
      <c r="V37" s="165"/>
      <c r="W37" s="165"/>
      <c r="X37" s="165"/>
      <c r="Y37" s="165"/>
      <c r="Z37" s="186" t="s">
        <v>52</v>
      </c>
      <c r="AA37" s="222">
        <f>AA26</f>
        <v>7.4110000000000009E-2</v>
      </c>
      <c r="AB37" s="223"/>
      <c r="AC37" s="167"/>
      <c r="AD37" s="165"/>
      <c r="AE37" s="165"/>
      <c r="AF37" s="226"/>
      <c r="AI37" s="165"/>
      <c r="AJ37" s="165"/>
      <c r="AK37" s="165"/>
      <c r="AL37" s="165"/>
      <c r="AM37" s="186" t="s">
        <v>37</v>
      </c>
      <c r="AN37" s="220">
        <f>AN22</f>
        <v>0.8</v>
      </c>
      <c r="AO37" s="221"/>
      <c r="AP37" s="167"/>
      <c r="AQ37" s="165"/>
      <c r="AR37" s="165"/>
      <c r="AS37" s="226"/>
      <c r="AV37" s="45"/>
      <c r="AW37" s="45"/>
      <c r="AX37" s="45"/>
      <c r="AY37" s="63"/>
    </row>
    <row r="38" spans="1:51">
      <c r="U38" s="226"/>
      <c r="V38" s="165"/>
      <c r="W38" s="165"/>
      <c r="X38" s="165"/>
      <c r="Y38" s="165"/>
      <c r="Z38" s="186" t="s">
        <v>53</v>
      </c>
      <c r="AA38" s="186">
        <v>360</v>
      </c>
      <c r="AB38" s="219"/>
      <c r="AC38" s="167"/>
      <c r="AD38" s="165"/>
      <c r="AE38" s="165"/>
      <c r="AF38" s="226"/>
      <c r="AI38" s="165"/>
      <c r="AJ38" s="165"/>
      <c r="AK38" s="165"/>
      <c r="AL38" s="165"/>
      <c r="AM38" s="186" t="s">
        <v>52</v>
      </c>
      <c r="AN38" s="222">
        <f>AN27</f>
        <v>7.417E-2</v>
      </c>
      <c r="AO38" s="223"/>
      <c r="AP38" s="167"/>
      <c r="AQ38" s="165"/>
      <c r="AR38" s="165"/>
      <c r="AS38" s="226"/>
      <c r="AV38" s="45"/>
      <c r="AW38" s="45"/>
      <c r="AX38" s="45"/>
      <c r="AY38" s="45"/>
    </row>
    <row r="39" spans="1:51">
      <c r="AI39" s="165"/>
      <c r="AJ39" s="165"/>
      <c r="AK39" s="165"/>
      <c r="AL39" s="165"/>
      <c r="AM39" s="186" t="s">
        <v>53</v>
      </c>
      <c r="AN39" s="186">
        <v>360</v>
      </c>
      <c r="AO39" s="219"/>
      <c r="AP39" s="167"/>
      <c r="AQ39" s="165"/>
      <c r="AR39" s="165"/>
      <c r="AS39" s="226"/>
      <c r="AV39" s="45"/>
      <c r="AW39" s="45"/>
      <c r="AX39" s="45"/>
      <c r="AY39" s="45"/>
    </row>
    <row r="40" spans="1:51">
      <c r="AV40" s="45"/>
      <c r="AW40" s="45"/>
      <c r="AX40" s="45"/>
      <c r="AY40" s="45"/>
    </row>
    <row r="41" spans="1:51">
      <c r="AV41" s="45"/>
      <c r="AW41" s="45"/>
      <c r="AX41" s="45"/>
      <c r="AY41" s="45"/>
    </row>
    <row r="42" spans="1:51">
      <c r="AV42" s="45"/>
      <c r="AW42" s="45"/>
      <c r="AX42" s="45"/>
      <c r="AY42" s="45"/>
    </row>
    <row r="43" spans="1:51">
      <c r="AV43" s="45"/>
      <c r="AW43" s="45"/>
      <c r="AX43" s="45"/>
      <c r="AY43" s="45"/>
    </row>
    <row r="44" spans="1:51">
      <c r="AV44" s="45"/>
      <c r="AW44" s="45"/>
      <c r="AX44" s="45"/>
      <c r="AY44" s="45"/>
    </row>
    <row r="45" spans="1:51">
      <c r="AV45" s="45"/>
      <c r="AW45" s="45"/>
      <c r="AX45" s="45"/>
      <c r="AY45" s="45"/>
    </row>
    <row r="46" spans="1:51">
      <c r="AV46" s="45"/>
      <c r="AW46" s="45"/>
      <c r="AX46" s="45"/>
      <c r="AY46" s="45"/>
    </row>
    <row r="47" spans="1:51">
      <c r="AV47" s="45"/>
      <c r="AW47" s="45"/>
      <c r="AX47" s="45"/>
      <c r="AY47" s="45"/>
    </row>
    <row r="48" spans="1:51">
      <c r="AI48" s="45"/>
      <c r="AJ48" s="45"/>
      <c r="AK48" s="45"/>
      <c r="AL48" s="50"/>
      <c r="AM48" s="50"/>
      <c r="AN48" s="50"/>
      <c r="AO48" s="45"/>
      <c r="AP48" s="45"/>
      <c r="AQ48" s="45"/>
      <c r="AR48" s="45"/>
    </row>
    <row r="49" spans="35:44">
      <c r="AI49" s="45"/>
      <c r="AJ49" s="45"/>
      <c r="AK49" s="45"/>
      <c r="AL49" s="50"/>
      <c r="AM49" s="50"/>
      <c r="AN49" s="50"/>
      <c r="AO49" s="45"/>
      <c r="AP49" s="45"/>
      <c r="AQ49" s="45"/>
      <c r="AR49" s="45"/>
    </row>
    <row r="50" spans="35:44">
      <c r="AI50" s="45"/>
      <c r="AJ50" s="45"/>
      <c r="AK50" s="45"/>
      <c r="AL50" s="45"/>
      <c r="AM50" s="45"/>
      <c r="AN50" s="45"/>
      <c r="AO50" s="45"/>
      <c r="AP50" s="45"/>
      <c r="AQ50" s="45"/>
      <c r="AR50" s="45"/>
    </row>
    <row r="51" spans="35:44">
      <c r="AI51" s="45"/>
      <c r="AJ51" s="45"/>
      <c r="AK51" s="45"/>
      <c r="AL51" s="45"/>
      <c r="AM51" s="45"/>
      <c r="AN51" s="45"/>
      <c r="AO51" s="45"/>
      <c r="AP51" s="45"/>
      <c r="AQ51" s="45"/>
      <c r="AR51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2024-11-14T13:40:27Z</dcterms:created>
  <dcterms:modified xsi:type="dcterms:W3CDTF">2025-09-01T07:09:32Z</dcterms:modified>
  <cp:category/>
  <cp:contentStatus/>
</cp:coreProperties>
</file>