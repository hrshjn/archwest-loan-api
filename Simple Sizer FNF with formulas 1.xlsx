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92B638D-C967-4110-A6E6-4D762175E7D6}" xr6:coauthVersionLast="47" xr6:coauthVersionMax="47" xr10:uidLastSave="{00000000-0000-0000-0000-000000000000}"/>
  <bookViews>
    <workbookView xWindow="-110" yWindow="-110" windowWidth="19420" windowHeight="10300" xr2:uid="{3C8C65EF-F6A1-4471-823B-A87BE3169A51}"/>
  </bookViews>
  <sheets>
    <sheet name="Pricing Sheet Mod" sheetId="1" r:id="rId1"/>
    <sheet name="Lists" sheetId="2" r:id="rId2"/>
    <sheet name="Instructions " sheetId="3" r:id="rId3"/>
  </sheets>
  <externalReferences>
    <externalReference r:id="rId4"/>
  </externalReferences>
  <definedNames>
    <definedName name="Ares">Lists!$J$75:$K$75</definedName>
    <definedName name="Ares___Aspida">Lists!$J$75:$K$75</definedName>
    <definedName name="bbb" localSheetId="1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bbb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Ellington">Lists!$J$76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Leverage_Adjuster">Lists!$H$4:$H$10</definedName>
    <definedName name="MLNK082a214280c14390965884a4942e1984" hidden="1">#REF!</definedName>
    <definedName name="MLNK13641040b0d049f29480c78c17d25707" hidden="1">#REF!</definedName>
    <definedName name="MLNK22d4a655ee204c8696353a8822440986" hidden="1">#REF!</definedName>
    <definedName name="MLNK29c47b08102f493082bba95f1cad2289" hidden="1">#REF!</definedName>
    <definedName name="MLNK2e873483d4964ac0970f71b3f704e661" hidden="1">#REF!</definedName>
    <definedName name="MLNK3168c179e46542aa92cff1294180fab0" hidden="1">#REF!</definedName>
    <definedName name="MLNK322c8b68fe6a4156baa715b3b5c009b4" hidden="1">#REF!</definedName>
    <definedName name="MLNK33c612057202437182ecee15a8a69a9a" hidden="1">#REF!</definedName>
    <definedName name="MLNK36a3d95e80fa4bddb56b06df0e49190e" hidden="1">#REF!</definedName>
    <definedName name="MLNK36b54ae1c37f4d3d9df87131762d734a" hidden="1">#REF!</definedName>
    <definedName name="MLNK52122b2c766f4a1d8cbefe295d7cd9bb" hidden="1">#REF!</definedName>
    <definedName name="MLNK7bdc8fabc5fb462b9af2274b13c7934b" hidden="1">#REF!</definedName>
    <definedName name="MLNK8f50030b04d441e08a90825dab078164" hidden="1">#REF!</definedName>
    <definedName name="MLNKa52ded8cdc5847f881e0c952d6c66ddc" hidden="1">#REF!</definedName>
    <definedName name="MLNKabe380f96e134e5bad8226d779847695" hidden="1">#REF!</definedName>
    <definedName name="MLNKbafc0cf808d640d38b617fa7d026effa" hidden="1">#REF!</definedName>
    <definedName name="MLNKbe19f3ec868442dfa22d6f860777e8c9" hidden="1">#REF!</definedName>
    <definedName name="MLNKc964eb1db4814607b1b7cfe46053fbfa" hidden="1">#REF!</definedName>
    <definedName name="MLNKce536caac068456bbc380922a7d36500" hidden="1">#REF!</definedName>
    <definedName name="MLNKee44d3d324dd4841a929858920882138" hidden="1">#REF!</definedName>
    <definedName name="MLNKf51cde8093624c54aa6560bb1dff67ae" hidden="1">#REF!</definedName>
    <definedName name="MLNKf848c15348104d9bbac49775a0f0a865" hidden="1">#REF!</definedName>
    <definedName name="MLNKfee877cb8d1f445e994ece23d3e467bb" hidden="1">#REF!</definedName>
    <definedName name="_xlnm.Print_Area" localSheetId="0">'Pricing Sheet Mod'!$C$3:$BX$83</definedName>
    <definedName name="ProjectName" localSheetId="1">{"BU Name or Client/Project Name"}</definedName>
    <definedName name="ProjectName">{"BU Name or Client/Project Name"}</definedName>
    <definedName name="stuff" hidden="1">#REF!</definedName>
    <definedName name="wrn.app_a." localSheetId="1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endixA." localSheetId="1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AI13" i="1"/>
  <c r="AG13" i="1"/>
  <c r="AK13" i="1"/>
  <c r="AK10" i="1"/>
  <c r="X10" i="1"/>
  <c r="AK12" i="1"/>
  <c r="AI12" i="1"/>
  <c r="AG12" i="1"/>
  <c r="K78" i="3"/>
  <c r="K79" i="3"/>
  <c r="K80" i="3"/>
  <c r="K77" i="3"/>
  <c r="AG54" i="2"/>
  <c r="AF54" i="2"/>
  <c r="AE54" i="2"/>
  <c r="AG53" i="2"/>
  <c r="AF53" i="2"/>
  <c r="AE53" i="2"/>
  <c r="AG52" i="2"/>
  <c r="AF52" i="2"/>
  <c r="AE52" i="2"/>
  <c r="AG51" i="2"/>
  <c r="AF51" i="2"/>
  <c r="AE51" i="2"/>
  <c r="AG50" i="2"/>
  <c r="AF50" i="2"/>
  <c r="AE50" i="2"/>
  <c r="AG49" i="2"/>
  <c r="AF49" i="2"/>
  <c r="AE49" i="2"/>
  <c r="AG48" i="2"/>
  <c r="AF48" i="2"/>
  <c r="AE48" i="2"/>
  <c r="AG47" i="2"/>
  <c r="AF47" i="2"/>
  <c r="AE47" i="2"/>
  <c r="AG46" i="2"/>
  <c r="AF46" i="2"/>
  <c r="AE46" i="2"/>
  <c r="AG45" i="2"/>
  <c r="AF45" i="2"/>
  <c r="AE45" i="2"/>
  <c r="AG44" i="2"/>
  <c r="AF44" i="2"/>
  <c r="AE44" i="2"/>
  <c r="AG43" i="2"/>
  <c r="AF43" i="2"/>
  <c r="AE43" i="2"/>
  <c r="AG42" i="2"/>
  <c r="AF42" i="2"/>
  <c r="AE42" i="2"/>
  <c r="AG41" i="2"/>
  <c r="AF41" i="2"/>
  <c r="AE41" i="2"/>
  <c r="AG40" i="2"/>
  <c r="AF40" i="2"/>
  <c r="AE40" i="2"/>
  <c r="AG39" i="2"/>
  <c r="AF39" i="2"/>
  <c r="AE39" i="2"/>
  <c r="AG38" i="2"/>
  <c r="AF38" i="2"/>
  <c r="AE38" i="2"/>
  <c r="AG37" i="2"/>
  <c r="AF37" i="2"/>
  <c r="AE37" i="2"/>
  <c r="AG36" i="2"/>
  <c r="AF36" i="2"/>
  <c r="AE36" i="2"/>
  <c r="AG35" i="2"/>
  <c r="AF35" i="2"/>
  <c r="AE35" i="2"/>
  <c r="AG34" i="2"/>
  <c r="AF34" i="2"/>
  <c r="AE34" i="2"/>
  <c r="AG33" i="2"/>
  <c r="AF33" i="2"/>
  <c r="AE33" i="2"/>
  <c r="AG32" i="2"/>
  <c r="AF32" i="2"/>
  <c r="AE32" i="2"/>
  <c r="AG31" i="2"/>
  <c r="AF31" i="2"/>
  <c r="AE31" i="2"/>
  <c r="AG30" i="2"/>
  <c r="AF30" i="2"/>
  <c r="AE30" i="2"/>
  <c r="AG29" i="2"/>
  <c r="AF29" i="2"/>
  <c r="AE29" i="2"/>
  <c r="AG28" i="2"/>
  <c r="AF28" i="2"/>
  <c r="AE28" i="2"/>
  <c r="AG27" i="2"/>
  <c r="AF27" i="2"/>
  <c r="AE27" i="2"/>
  <c r="AG26" i="2"/>
  <c r="AF26" i="2"/>
  <c r="AE26" i="2"/>
  <c r="AG25" i="2"/>
  <c r="AF25" i="2"/>
  <c r="AE25" i="2"/>
  <c r="AG24" i="2"/>
  <c r="AF24" i="2"/>
  <c r="AE24" i="2"/>
  <c r="AG23" i="2"/>
  <c r="AF23" i="2"/>
  <c r="AE23" i="2"/>
  <c r="AG22" i="2"/>
  <c r="AF22" i="2"/>
  <c r="AE22" i="2"/>
  <c r="AG21" i="2"/>
  <c r="AF21" i="2"/>
  <c r="AE21" i="2"/>
  <c r="AG20" i="2"/>
  <c r="AF20" i="2"/>
  <c r="AE20" i="2"/>
  <c r="AG19" i="2"/>
  <c r="AF19" i="2"/>
  <c r="AE19" i="2"/>
  <c r="AG18" i="2"/>
  <c r="AF18" i="2"/>
  <c r="AE18" i="2"/>
  <c r="AG17" i="2"/>
  <c r="AF17" i="2"/>
  <c r="AE17" i="2"/>
  <c r="AG16" i="2"/>
  <c r="AF16" i="2"/>
  <c r="AE16" i="2"/>
  <c r="AG15" i="2"/>
  <c r="AF15" i="2"/>
  <c r="AE15" i="2"/>
  <c r="S15" i="2"/>
  <c r="AG14" i="2"/>
  <c r="AF14" i="2"/>
  <c r="AE14" i="2"/>
  <c r="S14" i="2"/>
  <c r="AG13" i="2"/>
  <c r="AF13" i="2"/>
  <c r="AE13" i="2"/>
  <c r="S13" i="2"/>
  <c r="AG12" i="2"/>
  <c r="AF12" i="2"/>
  <c r="AE12" i="2"/>
  <c r="S12" i="2"/>
  <c r="AG11" i="2"/>
  <c r="AF11" i="2"/>
  <c r="AE11" i="2"/>
  <c r="S11" i="2"/>
  <c r="AG10" i="2"/>
  <c r="AF10" i="2"/>
  <c r="AE10" i="2"/>
  <c r="S10" i="2"/>
  <c r="AG9" i="2"/>
  <c r="AF9" i="2"/>
  <c r="AE9" i="2"/>
  <c r="S9" i="2"/>
  <c r="AG8" i="2"/>
  <c r="AF8" i="2"/>
  <c r="AE8" i="2"/>
  <c r="S8" i="2"/>
  <c r="AG7" i="2"/>
  <c r="AF7" i="2"/>
  <c r="AE7" i="2"/>
  <c r="S7" i="2"/>
  <c r="AG6" i="2"/>
  <c r="AF6" i="2"/>
  <c r="AE6" i="2"/>
  <c r="S6" i="2"/>
  <c r="AG5" i="2"/>
  <c r="AF5" i="2"/>
  <c r="AE5" i="2"/>
  <c r="S5" i="2"/>
  <c r="AG4" i="2"/>
  <c r="AF4" i="2"/>
  <c r="AE4" i="2"/>
  <c r="S4" i="2"/>
  <c r="I83" i="1"/>
  <c r="I82" i="1"/>
  <c r="I81" i="1"/>
  <c r="I80" i="1"/>
  <c r="I79" i="1"/>
  <c r="I78" i="1"/>
  <c r="I77" i="1"/>
  <c r="I76" i="1"/>
  <c r="I75" i="1"/>
  <c r="I74" i="1"/>
  <c r="G74" i="1"/>
  <c r="F74" i="1"/>
  <c r="I73" i="1"/>
  <c r="G73" i="1"/>
  <c r="F73" i="1"/>
  <c r="I72" i="1"/>
  <c r="G72" i="1"/>
  <c r="F72" i="1"/>
  <c r="I71" i="1"/>
  <c r="G71" i="1"/>
  <c r="F71" i="1"/>
  <c r="I70" i="1"/>
  <c r="G70" i="1"/>
  <c r="F70" i="1"/>
  <c r="I69" i="1"/>
  <c r="G69" i="1"/>
  <c r="F69" i="1"/>
  <c r="C69" i="1"/>
  <c r="C70" i="1" s="1"/>
  <c r="C71" i="1" s="1"/>
  <c r="C72" i="1" s="1"/>
  <c r="C73" i="1" s="1"/>
  <c r="C74" i="1" s="1"/>
  <c r="I68" i="1"/>
  <c r="G68" i="1"/>
  <c r="F68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H65" i="1"/>
  <c r="F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H64" i="1"/>
  <c r="F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H63" i="1"/>
  <c r="F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H62" i="1"/>
  <c r="F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H61" i="1"/>
  <c r="F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H60" i="1"/>
  <c r="F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H59" i="1"/>
  <c r="F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H58" i="1"/>
  <c r="F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H57" i="1"/>
  <c r="F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H56" i="1"/>
  <c r="F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H55" i="1"/>
  <c r="F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H54" i="1"/>
  <c r="F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H53" i="1"/>
  <c r="F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H52" i="1"/>
  <c r="F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H51" i="1"/>
  <c r="F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H50" i="1"/>
  <c r="F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H49" i="1"/>
  <c r="F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H48" i="1"/>
  <c r="F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H47" i="1"/>
  <c r="F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H46" i="1"/>
  <c r="F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H45" i="1"/>
  <c r="F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H44" i="1"/>
  <c r="F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H43" i="1"/>
  <c r="F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H42" i="1"/>
  <c r="F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H41" i="1"/>
  <c r="F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H40" i="1"/>
  <c r="F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H39" i="1"/>
  <c r="F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H38" i="1"/>
  <c r="F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H37" i="1"/>
  <c r="F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H36" i="1"/>
  <c r="F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H35" i="1"/>
  <c r="F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H34" i="1"/>
  <c r="F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H33" i="1"/>
  <c r="F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H32" i="1"/>
  <c r="F32" i="1"/>
  <c r="BB31" i="1"/>
  <c r="AZ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H31" i="1"/>
  <c r="F31" i="1"/>
  <c r="BB30" i="1"/>
  <c r="AZ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H30" i="1"/>
  <c r="F30" i="1"/>
  <c r="BB29" i="1"/>
  <c r="AZ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H29" i="1"/>
  <c r="F29" i="1"/>
  <c r="BB28" i="1"/>
  <c r="AZ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H28" i="1"/>
  <c r="F28" i="1"/>
  <c r="BB27" i="1"/>
  <c r="AZ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H27" i="1"/>
  <c r="F27" i="1"/>
  <c r="BB26" i="1"/>
  <c r="AZ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H26" i="1"/>
  <c r="F26" i="1"/>
  <c r="BB25" i="1"/>
  <c r="AZ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H25" i="1"/>
  <c r="F25" i="1"/>
  <c r="BB24" i="1"/>
  <c r="AZ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H24" i="1"/>
  <c r="F24" i="1"/>
  <c r="BB23" i="1"/>
  <c r="AZ23" i="1"/>
  <c r="AO26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H23" i="1"/>
  <c r="F23" i="1"/>
  <c r="BB22" i="1"/>
  <c r="AZ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H22" i="1"/>
  <c r="F22" i="1"/>
  <c r="BB21" i="1"/>
  <c r="AZ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H21" i="1"/>
  <c r="F21" i="1"/>
  <c r="BB20" i="1"/>
  <c r="AZ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H20" i="1"/>
  <c r="F20" i="1"/>
  <c r="BB19" i="1"/>
  <c r="AZ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H19" i="1"/>
  <c r="F19" i="1"/>
  <c r="BB18" i="1"/>
  <c r="AZ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H18" i="1"/>
  <c r="F18" i="1"/>
  <c r="BB17" i="1"/>
  <c r="AZ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H17" i="1"/>
  <c r="F17" i="1"/>
  <c r="BB16" i="1"/>
  <c r="AZ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H16" i="1"/>
  <c r="F16" i="1"/>
  <c r="BB15" i="1"/>
  <c r="AZ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H15" i="1"/>
  <c r="F15" i="1"/>
  <c r="BB14" i="1"/>
  <c r="AZ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H14" i="1"/>
  <c r="F14" i="1"/>
  <c r="BB13" i="1"/>
  <c r="AZ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H13" i="1"/>
  <c r="F13" i="1"/>
  <c r="BB12" i="1"/>
  <c r="AZ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H12" i="1"/>
  <c r="F12" i="1"/>
  <c r="BB11" i="1"/>
  <c r="AZ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H11" i="1"/>
  <c r="F11" i="1"/>
  <c r="BB10" i="1"/>
  <c r="AZ10" i="1"/>
  <c r="AD10" i="1"/>
  <c r="AC10" i="1"/>
  <c r="AB10" i="1"/>
  <c r="AA10" i="1"/>
  <c r="Z10" i="1"/>
  <c r="Y10" i="1"/>
  <c r="W10" i="1"/>
  <c r="V10" i="1"/>
  <c r="U10" i="1"/>
  <c r="T10" i="1"/>
  <c r="S10" i="1"/>
  <c r="R10" i="1"/>
  <c r="Q10" i="1"/>
  <c r="P10" i="1"/>
  <c r="O10" i="1"/>
  <c r="N10" i="1"/>
  <c r="M10" i="1"/>
  <c r="H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AI10" i="1" l="1"/>
  <c r="AI18" i="1"/>
  <c r="AI20" i="1"/>
  <c r="AG10" i="1"/>
  <c r="AG49" i="1"/>
  <c r="AG45" i="1"/>
  <c r="AG25" i="1"/>
  <c r="AG24" i="1"/>
  <c r="AG23" i="1"/>
  <c r="AG22" i="1"/>
  <c r="AG21" i="1"/>
  <c r="AG20" i="1"/>
  <c r="AG19" i="1"/>
  <c r="AG18" i="1"/>
  <c r="AK17" i="1"/>
  <c r="AG17" i="1"/>
  <c r="AG16" i="1"/>
  <c r="AG15" i="1"/>
  <c r="AG14" i="1"/>
  <c r="AK11" i="1"/>
  <c r="AI11" i="1"/>
  <c r="AG11" i="1"/>
  <c r="AG30" i="1"/>
  <c r="AI14" i="1"/>
  <c r="AI15" i="1"/>
  <c r="AK15" i="1"/>
  <c r="AK16" i="1"/>
  <c r="AI17" i="1"/>
  <c r="AI16" i="1"/>
  <c r="AF13" i="1"/>
  <c r="AK33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K49" i="1"/>
  <c r="AK48" i="1"/>
  <c r="AK47" i="1"/>
  <c r="AK46" i="1"/>
  <c r="AI49" i="1"/>
  <c r="AI48" i="1"/>
  <c r="AI47" i="1"/>
  <c r="AI46" i="1"/>
  <c r="AG48" i="1"/>
  <c r="AG47" i="1"/>
  <c r="AG46" i="1"/>
  <c r="AK45" i="1"/>
  <c r="AK44" i="1"/>
  <c r="AK43" i="1"/>
  <c r="AK42" i="1"/>
  <c r="AI45" i="1"/>
  <c r="AI44" i="1"/>
  <c r="AI43" i="1"/>
  <c r="AI42" i="1"/>
  <c r="AG44" i="1"/>
  <c r="AG43" i="1"/>
  <c r="AG42" i="1"/>
  <c r="AK41" i="1"/>
  <c r="AK40" i="1"/>
  <c r="AK39" i="1"/>
  <c r="AK38" i="1"/>
  <c r="AI41" i="1"/>
  <c r="AI40" i="1"/>
  <c r="AI39" i="1"/>
  <c r="AI38" i="1"/>
  <c r="AG41" i="1"/>
  <c r="AG40" i="1"/>
  <c r="AG39" i="1"/>
  <c r="AG38" i="1"/>
  <c r="AK34" i="1"/>
  <c r="AK35" i="1"/>
  <c r="AK36" i="1"/>
  <c r="AK37" i="1"/>
  <c r="AI34" i="1"/>
  <c r="AI35" i="1"/>
  <c r="AI36" i="1"/>
  <c r="AI37" i="1"/>
  <c r="AG34" i="1"/>
  <c r="AG35" i="1"/>
  <c r="AG36" i="1"/>
  <c r="AG37" i="1"/>
  <c r="AK30" i="1"/>
  <c r="AK31" i="1"/>
  <c r="AK32" i="1"/>
  <c r="AI30" i="1"/>
  <c r="AI31" i="1"/>
  <c r="AI32" i="1"/>
  <c r="AI33" i="1"/>
  <c r="AG31" i="1"/>
  <c r="AG32" i="1"/>
  <c r="AG33" i="1"/>
  <c r="AG29" i="1"/>
  <c r="AG28" i="1"/>
  <c r="AG27" i="1"/>
  <c r="AG26" i="1"/>
  <c r="AK29" i="1"/>
  <c r="AK28" i="1"/>
  <c r="AK27" i="1"/>
  <c r="AK26" i="1"/>
  <c r="AI27" i="1"/>
  <c r="AI28" i="1"/>
  <c r="AI29" i="1"/>
  <c r="AI26" i="1"/>
  <c r="AK22" i="1"/>
  <c r="AK23" i="1"/>
  <c r="AK24" i="1"/>
  <c r="AK25" i="1"/>
  <c r="AI22" i="1"/>
  <c r="AI23" i="1"/>
  <c r="AI24" i="1"/>
  <c r="AI25" i="1"/>
  <c r="AK18" i="1"/>
  <c r="AK19" i="1"/>
  <c r="AK20" i="1"/>
  <c r="AK21" i="1"/>
  <c r="AI19" i="1"/>
  <c r="AI21" i="1"/>
  <c r="AK14" i="1"/>
  <c r="AF12" i="1" l="1"/>
  <c r="AH13" i="1"/>
  <c r="AJ13" i="1" s="1"/>
  <c r="AF17" i="1"/>
  <c r="AH17" i="1" l="1"/>
  <c r="AJ17" i="1" s="1"/>
  <c r="AF21" i="1"/>
  <c r="AH12" i="1"/>
  <c r="AJ12" i="1" s="1"/>
  <c r="AF11" i="1"/>
  <c r="AF16" i="1"/>
  <c r="AF20" i="1" l="1"/>
  <c r="AH16" i="1"/>
  <c r="AJ16" i="1" s="1"/>
  <c r="AH11" i="1"/>
  <c r="AJ11" i="1" s="1"/>
  <c r="AF15" i="1"/>
  <c r="AF10" i="1"/>
  <c r="AF25" i="1"/>
  <c r="AH21" i="1"/>
  <c r="AJ21" i="1" s="1"/>
  <c r="AF29" i="1" l="1"/>
  <c r="AH25" i="1"/>
  <c r="AJ25" i="1" s="1"/>
  <c r="AH10" i="1"/>
  <c r="AJ10" i="1" s="1"/>
  <c r="AF14" i="1"/>
  <c r="AH15" i="1"/>
  <c r="AJ15" i="1" s="1"/>
  <c r="AF19" i="1"/>
  <c r="AH20" i="1"/>
  <c r="AJ20" i="1" s="1"/>
  <c r="AF24" i="1"/>
  <c r="AF28" i="1" l="1"/>
  <c r="AH24" i="1"/>
  <c r="AJ24" i="1" s="1"/>
  <c r="AH19" i="1"/>
  <c r="AJ19" i="1" s="1"/>
  <c r="AF23" i="1"/>
  <c r="AH14" i="1"/>
  <c r="AJ14" i="1" s="1"/>
  <c r="AF18" i="1"/>
  <c r="AH29" i="1"/>
  <c r="AJ29" i="1" s="1"/>
  <c r="AF33" i="1"/>
  <c r="AH33" i="1" l="1"/>
  <c r="AJ33" i="1" s="1"/>
  <c r="AF37" i="1"/>
  <c r="AF22" i="1"/>
  <c r="AH18" i="1"/>
  <c r="AJ18" i="1" s="1"/>
  <c r="AH23" i="1"/>
  <c r="AJ23" i="1" s="1"/>
  <c r="AF27" i="1"/>
  <c r="AF32" i="1"/>
  <c r="AH28" i="1"/>
  <c r="AJ28" i="1" s="1"/>
  <c r="AH32" i="1" l="1"/>
  <c r="AJ32" i="1" s="1"/>
  <c r="AF36" i="1"/>
  <c r="AF31" i="1"/>
  <c r="AH27" i="1"/>
  <c r="AJ27" i="1" s="1"/>
  <c r="AF26" i="1"/>
  <c r="AH22" i="1"/>
  <c r="AJ22" i="1" s="1"/>
  <c r="AH37" i="1"/>
  <c r="AJ37" i="1" s="1"/>
  <c r="AF41" i="1"/>
  <c r="AH41" i="1" l="1"/>
  <c r="AJ41" i="1" s="1"/>
  <c r="AF45" i="1"/>
  <c r="AH26" i="1"/>
  <c r="AJ26" i="1" s="1"/>
  <c r="AF30" i="1"/>
  <c r="AH31" i="1"/>
  <c r="AJ31" i="1" s="1"/>
  <c r="AF35" i="1"/>
  <c r="AH36" i="1"/>
  <c r="AJ36" i="1" s="1"/>
  <c r="AF40" i="1"/>
  <c r="AF44" i="1" l="1"/>
  <c r="AH40" i="1"/>
  <c r="AJ40" i="1" s="1"/>
  <c r="AH35" i="1"/>
  <c r="AJ35" i="1" s="1"/>
  <c r="AF39" i="1"/>
  <c r="AH30" i="1"/>
  <c r="AJ30" i="1" s="1"/>
  <c r="AF34" i="1"/>
  <c r="AH45" i="1"/>
  <c r="AJ45" i="1" s="1"/>
  <c r="AF49" i="1"/>
  <c r="AH49" i="1" l="1"/>
  <c r="AJ49" i="1" s="1"/>
  <c r="AF53" i="1"/>
  <c r="AH34" i="1"/>
  <c r="AJ34" i="1" s="1"/>
  <c r="AF38" i="1"/>
  <c r="AH39" i="1"/>
  <c r="AJ39" i="1" s="1"/>
  <c r="AF43" i="1"/>
  <c r="AH44" i="1"/>
  <c r="AJ44" i="1" s="1"/>
  <c r="AF48" i="1"/>
  <c r="AH48" i="1" l="1"/>
  <c r="AJ48" i="1" s="1"/>
  <c r="AF52" i="1"/>
  <c r="AH43" i="1"/>
  <c r="AJ43" i="1" s="1"/>
  <c r="AF47" i="1"/>
  <c r="AH38" i="1"/>
  <c r="AJ38" i="1" s="1"/>
  <c r="AF42" i="1"/>
  <c r="AH53" i="1"/>
  <c r="AJ53" i="1" s="1"/>
  <c r="AF57" i="1"/>
  <c r="AH57" i="1" l="1"/>
  <c r="AJ57" i="1" s="1"/>
  <c r="AF61" i="1"/>
  <c r="AH42" i="1"/>
  <c r="AJ42" i="1" s="1"/>
  <c r="AF46" i="1"/>
  <c r="AH47" i="1"/>
  <c r="AJ47" i="1" s="1"/>
  <c r="AF51" i="1"/>
  <c r="AH52" i="1"/>
  <c r="AJ52" i="1" s="1"/>
  <c r="AF56" i="1"/>
  <c r="AH56" i="1" l="1"/>
  <c r="AJ56" i="1" s="1"/>
  <c r="AF60" i="1"/>
  <c r="AH51" i="1"/>
  <c r="AJ51" i="1" s="1"/>
  <c r="AF55" i="1"/>
  <c r="AH46" i="1"/>
  <c r="AJ46" i="1" s="1"/>
  <c r="AF50" i="1"/>
  <c r="AH61" i="1"/>
  <c r="AJ61" i="1" s="1"/>
  <c r="AF65" i="1"/>
  <c r="AH65" i="1" s="1"/>
  <c r="AJ65" i="1" s="1"/>
  <c r="AF54" i="1" l="1"/>
  <c r="AH50" i="1"/>
  <c r="AJ50" i="1" s="1"/>
  <c r="AF59" i="1"/>
  <c r="AH55" i="1"/>
  <c r="AJ55" i="1" s="1"/>
  <c r="AF64" i="1"/>
  <c r="AH64" i="1" s="1"/>
  <c r="AJ64" i="1" s="1"/>
  <c r="AH60" i="1"/>
  <c r="AJ60" i="1" s="1"/>
  <c r="AH59" i="1" l="1"/>
  <c r="AJ59" i="1" s="1"/>
  <c r="AF63" i="1"/>
  <c r="AH63" i="1" s="1"/>
  <c r="AJ63" i="1" s="1"/>
  <c r="AF58" i="1"/>
  <c r="AH54" i="1"/>
  <c r="AJ54" i="1" s="1"/>
  <c r="AH58" i="1" l="1"/>
  <c r="AJ58" i="1" s="1"/>
  <c r="AF62" i="1"/>
  <c r="AH62" i="1" s="1"/>
  <c r="AJ62" i="1" s="1"/>
</calcChain>
</file>

<file path=xl/sharedStrings.xml><?xml version="1.0" encoding="utf-8"?>
<sst xmlns="http://schemas.openxmlformats.org/spreadsheetml/2006/main" count="916" uniqueCount="226">
  <si>
    <t xml:space="preserve">ArchWest Capital </t>
  </si>
  <si>
    <t xml:space="preserve">Rate Sheet </t>
  </si>
  <si>
    <t>Pricing by Product, Borrower Level,  Minimum Experience, and FICO Min</t>
  </si>
  <si>
    <t xml:space="preserve">Purchase </t>
  </si>
  <si>
    <t>Purchase BF Rehab</t>
  </si>
  <si>
    <t>Refinance LF Rehab</t>
  </si>
  <si>
    <t>Bridge Purchase no Rehab</t>
  </si>
  <si>
    <t>REFI</t>
  </si>
  <si>
    <t>Bridge Cash out no Rehab</t>
  </si>
  <si>
    <t>Helper - PASTE HERE and Adjust From Here</t>
  </si>
  <si>
    <t>Rates as of 5/14/2024</t>
  </si>
  <si>
    <t>Purchase (also Delayed Purchase) / 
Lender Financed Rehab*</t>
  </si>
  <si>
    <t>Purchase (also Delayed Purchase)  /  
Borrower Funded Rehab*</t>
  </si>
  <si>
    <t>Refinance / 
Lender Financed Rehab</t>
  </si>
  <si>
    <t>Bridge Loan
 Purchase (Also Delayed Purchase) / No Rehab</t>
  </si>
  <si>
    <t>Bridge Loan
Rate &amp; Term Refinance
No Rehab</t>
  </si>
  <si>
    <t>Bridge Loan
Cash Out
No Rehab</t>
  </si>
  <si>
    <t xml:space="preserve">Tier 1 </t>
  </si>
  <si>
    <t>Tier 2</t>
  </si>
  <si>
    <t>Tier 3</t>
  </si>
  <si>
    <t>Product</t>
  </si>
  <si>
    <t>Borrower Level</t>
  </si>
  <si>
    <t>Min. Experience 36 mos.</t>
  </si>
  <si>
    <t>Prod and Br</t>
  </si>
  <si>
    <t>Min. FICO:</t>
  </si>
  <si>
    <t>Qualification Key</t>
  </si>
  <si>
    <t>Loan Amount Tier</t>
  </si>
  <si>
    <t>Min. Loan:</t>
  </si>
  <si>
    <t>Max. Loan:</t>
  </si>
  <si>
    <t>LTV</t>
  </si>
  <si>
    <t>LTARV</t>
  </si>
  <si>
    <t>LTC</t>
  </si>
  <si>
    <t>Direct Origination Fee:**</t>
  </si>
  <si>
    <t>InDirect Origination Fee:**</t>
  </si>
  <si>
    <t>Tier 1</t>
  </si>
  <si>
    <t>Borrower Experience Calculator</t>
  </si>
  <si>
    <t>Direct Origination</t>
  </si>
  <si>
    <t>Indirect Origination</t>
  </si>
  <si>
    <t>Units Count in 36 mos</t>
  </si>
  <si>
    <t>Experience Tier</t>
  </si>
  <si>
    <t>Min Experience</t>
  </si>
  <si>
    <t>Min Experience Tier</t>
  </si>
  <si>
    <t>Helper - HF to Dig in</t>
  </si>
  <si>
    <t>FNF</t>
  </si>
  <si>
    <t>A</t>
  </si>
  <si>
    <t>Experience</t>
  </si>
  <si>
    <t>Tier</t>
  </si>
  <si>
    <t>B</t>
  </si>
  <si>
    <t>C</t>
  </si>
  <si>
    <t>D</t>
  </si>
  <si>
    <t>1 Month SOFR</t>
  </si>
  <si>
    <t>Min Spread</t>
  </si>
  <si>
    <t>Buffer</t>
  </si>
  <si>
    <t>Min Spread to Sales</t>
  </si>
  <si>
    <t>GUP</t>
  </si>
  <si>
    <t>Tier Spread</t>
  </si>
  <si>
    <t>Size Adjustment</t>
  </si>
  <si>
    <t>Credit Adjustment</t>
  </si>
  <si>
    <t>Loan Tier Adjustment</t>
  </si>
  <si>
    <t xml:space="preserve">Fix-and-Flip </t>
  </si>
  <si>
    <t xml:space="preserve">Ground Up </t>
  </si>
  <si>
    <t>GUC</t>
  </si>
  <si>
    <t>N/A</t>
  </si>
  <si>
    <t>FICO Analysis</t>
  </si>
  <si>
    <t>Row</t>
  </si>
  <si>
    <t>Loan Amount</t>
  </si>
  <si>
    <t>FICO</t>
  </si>
  <si>
    <t>LA Tier</t>
  </si>
  <si>
    <t xml:space="preserve">* No Borrower Mid Rehab Refinance is Allowed </t>
  </si>
  <si>
    <t>**Min Points Direct</t>
  </si>
  <si>
    <t>**Min Points Indirect (via broker)</t>
  </si>
  <si>
    <t>DSR months</t>
  </si>
  <si>
    <t xml:space="preserve">Borrowing Tiers </t>
  </si>
  <si>
    <t xml:space="preserve">Change tier from drop down </t>
  </si>
  <si>
    <t xml:space="preserve">Archwest Product Types </t>
  </si>
  <si>
    <t>Program Type</t>
  </si>
  <si>
    <t>None</t>
  </si>
  <si>
    <t>States</t>
  </si>
  <si>
    <t>Able to Lend</t>
  </si>
  <si>
    <t xml:space="preserve">Tier rank </t>
  </si>
  <si>
    <t>Tier Ranks</t>
  </si>
  <si>
    <t>Purchase LF Rehab</t>
  </si>
  <si>
    <t>P</t>
  </si>
  <si>
    <t>Purchase</t>
  </si>
  <si>
    <t>A+</t>
  </si>
  <si>
    <t>AL</t>
  </si>
  <si>
    <t>AK</t>
  </si>
  <si>
    <t>Refi</t>
  </si>
  <si>
    <t>Rate &amp; Term</t>
  </si>
  <si>
    <t>3 Month</t>
  </si>
  <si>
    <t>AZ</t>
  </si>
  <si>
    <t>Bridge Purchase No Rehab</t>
  </si>
  <si>
    <t>AR</t>
  </si>
  <si>
    <t>Bridge Rate &amp; Term Refi No Rehab</t>
  </si>
  <si>
    <t>CA</t>
  </si>
  <si>
    <t>Bridge Cash out No Rehab</t>
  </si>
  <si>
    <t>Cash Out</t>
  </si>
  <si>
    <t>6 Month</t>
  </si>
  <si>
    <t>CO</t>
  </si>
  <si>
    <t>CT</t>
  </si>
  <si>
    <t>DE</t>
  </si>
  <si>
    <t xml:space="preserve">Property Types </t>
  </si>
  <si>
    <t>9 Month</t>
  </si>
  <si>
    <t>FL</t>
  </si>
  <si>
    <t>SFR</t>
  </si>
  <si>
    <t>GA</t>
  </si>
  <si>
    <t>2-4 Unit</t>
  </si>
  <si>
    <t>HI</t>
  </si>
  <si>
    <t>Condo</t>
  </si>
  <si>
    <t>12 Month</t>
  </si>
  <si>
    <t>ID</t>
  </si>
  <si>
    <t>Multi Family</t>
  </si>
  <si>
    <t>IL</t>
  </si>
  <si>
    <t>IN</t>
  </si>
  <si>
    <t>IA</t>
  </si>
  <si>
    <t>KS</t>
  </si>
  <si>
    <t>KY</t>
  </si>
  <si>
    <t xml:space="preserve">Exit Strategy </t>
  </si>
  <si>
    <t>Market Experience</t>
  </si>
  <si>
    <t>Scope Experience</t>
  </si>
  <si>
    <t>LA</t>
  </si>
  <si>
    <t xml:space="preserve">Loan Purpose </t>
  </si>
  <si>
    <t>Sell</t>
  </si>
  <si>
    <t>Same Market</t>
  </si>
  <si>
    <t>Same Scope</t>
  </si>
  <si>
    <t>ME</t>
  </si>
  <si>
    <t xml:space="preserve">Acquisition </t>
  </si>
  <si>
    <t xml:space="preserve">Hold </t>
  </si>
  <si>
    <t>Different Market</t>
  </si>
  <si>
    <t>Different Scope</t>
  </si>
  <si>
    <t>MD</t>
  </si>
  <si>
    <t>Rehab</t>
  </si>
  <si>
    <t>MA</t>
  </si>
  <si>
    <t>Ground-up Construction</t>
  </si>
  <si>
    <t>MI</t>
  </si>
  <si>
    <t>MN</t>
  </si>
  <si>
    <t>MS</t>
  </si>
  <si>
    <t>MO</t>
  </si>
  <si>
    <t>MT</t>
  </si>
  <si>
    <t>NE</t>
  </si>
  <si>
    <t>Tradeline</t>
  </si>
  <si>
    <t>Loan Purpose</t>
  </si>
  <si>
    <t>NV</t>
  </si>
  <si>
    <t>Yes</t>
  </si>
  <si>
    <t>Purchase and renovation</t>
  </si>
  <si>
    <t>NH</t>
  </si>
  <si>
    <t>No</t>
  </si>
  <si>
    <t>NJ</t>
  </si>
  <si>
    <t>Refinance</t>
  </si>
  <si>
    <t>NM</t>
  </si>
  <si>
    <t>NY</t>
  </si>
  <si>
    <t>NC</t>
  </si>
  <si>
    <t>ND</t>
  </si>
  <si>
    <t>OH</t>
  </si>
  <si>
    <t>OK</t>
  </si>
  <si>
    <t>OR</t>
  </si>
  <si>
    <t>Entity Members</t>
  </si>
  <si>
    <t>Term Extension</t>
  </si>
  <si>
    <t>PA</t>
  </si>
  <si>
    <t>RI</t>
  </si>
  <si>
    <t>SC</t>
  </si>
  <si>
    <t>SD</t>
  </si>
  <si>
    <t>TN</t>
  </si>
  <si>
    <t>5+</t>
  </si>
  <si>
    <t>TX</t>
  </si>
  <si>
    <t>UT</t>
  </si>
  <si>
    <t>VT</t>
  </si>
  <si>
    <t>VA</t>
  </si>
  <si>
    <t>WA</t>
  </si>
  <si>
    <t>Yes or No - Picklist</t>
  </si>
  <si>
    <t>Points</t>
  </si>
  <si>
    <t>WV</t>
  </si>
  <si>
    <t>WI</t>
  </si>
  <si>
    <t>WY</t>
  </si>
  <si>
    <t>DC</t>
  </si>
  <si>
    <t xml:space="preserve">Experience Tiers </t>
  </si>
  <si>
    <t>Experience in 36 mos</t>
  </si>
  <si>
    <t xml:space="preserve">Tier 3 </t>
  </si>
  <si>
    <t>Tier 4</t>
  </si>
  <si>
    <t>Experience Tiers Picklist</t>
  </si>
  <si>
    <t>RTL</t>
  </si>
  <si>
    <t>Bain</t>
  </si>
  <si>
    <t>Ground-Up Construction</t>
  </si>
  <si>
    <t>Sizer Mode</t>
  </si>
  <si>
    <t xml:space="preserve">$ / % </t>
  </si>
  <si>
    <t>UW</t>
  </si>
  <si>
    <t>$ -Dollars</t>
  </si>
  <si>
    <t>Sales</t>
  </si>
  <si>
    <t>% -Percent</t>
  </si>
  <si>
    <t>Purchase &amp; Rehab</t>
  </si>
  <si>
    <t>Take Out Partner</t>
  </si>
  <si>
    <t>001Ri00000IsALbIAN</t>
  </si>
  <si>
    <t>Cash out Refi with Rehab</t>
  </si>
  <si>
    <t>ALIC Archwest Mortgage Trust</t>
  </si>
  <si>
    <t>0018c00002uit6lAAA</t>
  </si>
  <si>
    <t>Purchase &amp; No Rehab</t>
  </si>
  <si>
    <t>APC BX Trust</t>
  </si>
  <si>
    <t>0018c00002km8n8AAA</t>
  </si>
  <si>
    <t>Rate/Term Refi</t>
  </si>
  <si>
    <t>Cash out Refi / No Rehab</t>
  </si>
  <si>
    <t>State</t>
  </si>
  <si>
    <t>JudicialVsNonJudicial</t>
  </si>
  <si>
    <t>Non-Judicial</t>
  </si>
  <si>
    <t>Judicial</t>
  </si>
  <si>
    <t xml:space="preserve">Instructions </t>
  </si>
  <si>
    <t xml:space="preserve">This chart is for FNF / Bridge only </t>
  </si>
  <si>
    <t>In the pricing sheet mod we are looking up the transaction type here to get the correct column</t>
  </si>
  <si>
    <t xml:space="preserve">In this example we will look at the purchase column </t>
  </si>
  <si>
    <t>Then we are going to look at the Experience tier to find the right group of rows.</t>
  </si>
  <si>
    <t xml:space="preserve">In this example we will use an experience number of 7 </t>
  </si>
  <si>
    <t xml:space="preserve">Then we are going to look for the right group of rows that match the credit score range. </t>
  </si>
  <si>
    <t xml:space="preserve">In this example we will use 740 as the credit score </t>
  </si>
  <si>
    <t xml:space="preserve">Now we need to take the property value and multiply it by the LTV in each of the column that contains the correct credit score. This will produce a number of values and we then will need to take the values and match it to the correct loan range to loan that produces the highest LTV. </t>
  </si>
  <si>
    <t>In this case the property value is 1,200,000</t>
  </si>
  <si>
    <t>Purchase LTV</t>
  </si>
  <si>
    <t>*</t>
  </si>
  <si>
    <t>=</t>
  </si>
  <si>
    <t xml:space="preserve">As we want to maximize the LTV we would go with the loan value of 1,200,000 which produces an LTV of 85% </t>
  </si>
  <si>
    <t xml:space="preserve">Display the LTV and LTC values on the selected row </t>
  </si>
  <si>
    <t xml:space="preserve">For the note rate we are going across on the row that we selected and looking at what state the property is located in. </t>
  </si>
  <si>
    <t xml:space="preserve">To determine the state tier we need to look in the state list in the List tab </t>
  </si>
  <si>
    <t xml:space="preserve">In the above if the property is located in GA then it is a tier two state. </t>
  </si>
  <si>
    <t>We go back to the pricing sheet mod and move across the row to the tier 2 state note rate</t>
  </si>
  <si>
    <t xml:space="preserve">Results: </t>
  </si>
  <si>
    <t xml:space="preserve">Loan Amount </t>
  </si>
  <si>
    <t xml:space="preserve">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</si>
</sst>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0.000%"/>
    <numFmt numFmtId="165" formatCode="0.000"/>
    <numFmt numFmtId="166" formatCode="0.0%"/>
    <numFmt numFmtId="167" formatCode="0.0000%"/>
    <numFmt numFmtId="168" formatCode="_(* #,##0_);_(* \(#,##0\);_(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color rgb="FFFF0000"/>
      <name val="Century Gothic"/>
      <family val="2"/>
    </font>
    <font>
      <i/>
      <sz val="12"/>
      <color theme="1"/>
      <name val="Century Gothic"/>
      <family val="2"/>
    </font>
    <font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rgb="FFFF0000"/>
      <name val="Century Gothic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10" fontId="3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wrapText="1"/>
    </xf>
    <xf numFmtId="10" fontId="8" fillId="2" borderId="0" xfId="0" applyNumberFormat="1" applyFont="1" applyFill="1"/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Continuous" vertical="center" wrapText="1"/>
    </xf>
    <xf numFmtId="0" fontId="8" fillId="3" borderId="0" xfId="0" applyFont="1" applyFill="1" applyAlignment="1">
      <alignment horizontal="centerContinuous" vertical="center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horizontal="center" wrapText="1"/>
    </xf>
    <xf numFmtId="0" fontId="6" fillId="4" borderId="7" xfId="0" applyFont="1" applyFill="1" applyBorder="1"/>
    <xf numFmtId="0" fontId="6" fillId="4" borderId="0" xfId="0" applyFont="1" applyFill="1" applyAlignment="1">
      <alignment horizontal="center"/>
    </xf>
    <xf numFmtId="10" fontId="6" fillId="4" borderId="0" xfId="0" applyNumberFormat="1" applyFont="1" applyFill="1" applyAlignment="1">
      <alignment horizontal="center"/>
    </xf>
    <xf numFmtId="10" fontId="6" fillId="4" borderId="8" xfId="0" applyNumberFormat="1" applyFont="1" applyFill="1" applyBorder="1" applyAlignment="1">
      <alignment horizontal="center"/>
    </xf>
    <xf numFmtId="0" fontId="3" fillId="0" borderId="7" xfId="0" applyFont="1" applyBorder="1" applyAlignment="1">
      <alignment wrapText="1"/>
    </xf>
    <xf numFmtId="0" fontId="3" fillId="5" borderId="7" xfId="0" applyFont="1" applyFill="1" applyBorder="1"/>
    <xf numFmtId="0" fontId="3" fillId="5" borderId="7" xfId="0" applyFont="1" applyFill="1" applyBorder="1" applyAlignment="1">
      <alignment horizontal="center"/>
    </xf>
    <xf numFmtId="6" fontId="3" fillId="5" borderId="7" xfId="0" applyNumberFormat="1" applyFont="1" applyFill="1" applyBorder="1" applyAlignment="1">
      <alignment horizontal="center"/>
    </xf>
    <xf numFmtId="166" fontId="4" fillId="5" borderId="9" xfId="3" applyNumberFormat="1" applyFont="1" applyFill="1" applyBorder="1" applyAlignment="1">
      <alignment horizontal="center"/>
    </xf>
    <xf numFmtId="166" fontId="4" fillId="5" borderId="7" xfId="3" applyNumberFormat="1" applyFont="1" applyFill="1" applyBorder="1" applyAlignment="1">
      <alignment horizontal="center"/>
    </xf>
    <xf numFmtId="166" fontId="4" fillId="5" borderId="10" xfId="3" applyNumberFormat="1" applyFont="1" applyFill="1" applyBorder="1" applyAlignment="1">
      <alignment horizontal="center"/>
    </xf>
    <xf numFmtId="164" fontId="3" fillId="5" borderId="7" xfId="3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7" xfId="2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4" fillId="5" borderId="11" xfId="3" applyNumberFormat="1" applyFont="1" applyFill="1" applyBorder="1" applyAlignment="1">
      <alignment horizontal="center"/>
    </xf>
    <xf numFmtId="166" fontId="4" fillId="5" borderId="12" xfId="3" applyNumberFormat="1" applyFont="1" applyFill="1" applyBorder="1" applyAlignment="1">
      <alignment horizontal="center"/>
    </xf>
    <xf numFmtId="166" fontId="4" fillId="5" borderId="13" xfId="3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166" fontId="4" fillId="6" borderId="9" xfId="3" applyNumberFormat="1" applyFont="1" applyFill="1" applyBorder="1" applyAlignment="1">
      <alignment horizontal="center"/>
    </xf>
    <xf numFmtId="166" fontId="4" fillId="6" borderId="7" xfId="3" applyNumberFormat="1" applyFont="1" applyFill="1" applyBorder="1" applyAlignment="1">
      <alignment horizontal="center"/>
    </xf>
    <xf numFmtId="166" fontId="4" fillId="6" borderId="10" xfId="3" applyNumberFormat="1" applyFont="1" applyFill="1" applyBorder="1" applyAlignment="1">
      <alignment horizontal="center"/>
    </xf>
    <xf numFmtId="0" fontId="3" fillId="7" borderId="7" xfId="0" applyFont="1" applyFill="1" applyBorder="1"/>
    <xf numFmtId="166" fontId="4" fillId="6" borderId="11" xfId="3" applyNumberFormat="1" applyFont="1" applyFill="1" applyBorder="1" applyAlignment="1">
      <alignment horizontal="center"/>
    </xf>
    <xf numFmtId="166" fontId="4" fillId="6" borderId="12" xfId="3" applyNumberFormat="1" applyFont="1" applyFill="1" applyBorder="1" applyAlignment="1">
      <alignment horizontal="center"/>
    </xf>
    <xf numFmtId="166" fontId="4" fillId="6" borderId="13" xfId="3" applyNumberFormat="1" applyFont="1" applyFill="1" applyBorder="1" applyAlignment="1">
      <alignment horizontal="center"/>
    </xf>
    <xf numFmtId="0" fontId="3" fillId="8" borderId="7" xfId="0" applyFont="1" applyFill="1" applyBorder="1"/>
    <xf numFmtId="0" fontId="3" fillId="8" borderId="7" xfId="0" applyFont="1" applyFill="1" applyBorder="1" applyAlignment="1">
      <alignment horizontal="center"/>
    </xf>
    <xf numFmtId="6" fontId="3" fillId="8" borderId="7" xfId="0" applyNumberFormat="1" applyFont="1" applyFill="1" applyBorder="1" applyAlignment="1">
      <alignment horizontal="center"/>
    </xf>
    <xf numFmtId="166" fontId="4" fillId="8" borderId="9" xfId="3" applyNumberFormat="1" applyFont="1" applyFill="1" applyBorder="1" applyAlignment="1">
      <alignment horizontal="center"/>
    </xf>
    <xf numFmtId="166" fontId="4" fillId="8" borderId="7" xfId="3" applyNumberFormat="1" applyFont="1" applyFill="1" applyBorder="1" applyAlignment="1">
      <alignment horizontal="center"/>
    </xf>
    <xf numFmtId="166" fontId="4" fillId="8" borderId="10" xfId="3" applyNumberFormat="1" applyFont="1" applyFill="1" applyBorder="1" applyAlignment="1">
      <alignment horizontal="center"/>
    </xf>
    <xf numFmtId="164" fontId="3" fillId="8" borderId="7" xfId="3" applyNumberFormat="1" applyFont="1" applyFill="1" applyBorder="1" applyAlignment="1">
      <alignment horizontal="center"/>
    </xf>
    <xf numFmtId="0" fontId="3" fillId="9" borderId="7" xfId="0" applyFont="1" applyFill="1" applyBorder="1"/>
    <xf numFmtId="166" fontId="4" fillId="8" borderId="11" xfId="3" applyNumberFormat="1" applyFont="1" applyFill="1" applyBorder="1" applyAlignment="1">
      <alignment horizontal="center"/>
    </xf>
    <xf numFmtId="166" fontId="4" fillId="8" borderId="12" xfId="3" applyNumberFormat="1" applyFont="1" applyFill="1" applyBorder="1" applyAlignment="1">
      <alignment horizontal="center"/>
    </xf>
    <xf numFmtId="166" fontId="4" fillId="8" borderId="13" xfId="3" applyNumberFormat="1" applyFont="1" applyFill="1" applyBorder="1" applyAlignment="1">
      <alignment horizontal="center"/>
    </xf>
    <xf numFmtId="0" fontId="3" fillId="10" borderId="7" xfId="0" applyFont="1" applyFill="1" applyBorder="1"/>
    <xf numFmtId="0" fontId="3" fillId="10" borderId="7" xfId="0" applyFont="1" applyFill="1" applyBorder="1" applyAlignment="1">
      <alignment horizontal="center"/>
    </xf>
    <xf numFmtId="6" fontId="3" fillId="10" borderId="7" xfId="0" applyNumberFormat="1" applyFont="1" applyFill="1" applyBorder="1" applyAlignment="1">
      <alignment horizontal="center"/>
    </xf>
    <xf numFmtId="166" fontId="4" fillId="10" borderId="14" xfId="3" applyNumberFormat="1" applyFont="1" applyFill="1" applyBorder="1" applyAlignment="1">
      <alignment horizontal="center"/>
    </xf>
    <xf numFmtId="166" fontId="4" fillId="10" borderId="15" xfId="3" applyNumberFormat="1" applyFont="1" applyFill="1" applyBorder="1" applyAlignment="1">
      <alignment horizontal="center"/>
    </xf>
    <xf numFmtId="166" fontId="4" fillId="10" borderId="16" xfId="3" applyNumberFormat="1" applyFont="1" applyFill="1" applyBorder="1" applyAlignment="1">
      <alignment horizontal="center"/>
    </xf>
    <xf numFmtId="164" fontId="3" fillId="10" borderId="7" xfId="3" applyNumberFormat="1" applyFont="1" applyFill="1" applyBorder="1" applyAlignment="1">
      <alignment horizontal="center"/>
    </xf>
    <xf numFmtId="0" fontId="3" fillId="11" borderId="7" xfId="0" applyFont="1" applyFill="1" applyBorder="1"/>
    <xf numFmtId="0" fontId="2" fillId="0" borderId="7" xfId="0" applyFont="1" applyBorder="1"/>
    <xf numFmtId="164" fontId="2" fillId="5" borderId="7" xfId="0" applyNumberFormat="1" applyFont="1" applyFill="1" applyBorder="1"/>
    <xf numFmtId="0" fontId="10" fillId="0" borderId="0" xfId="0" applyFont="1"/>
    <xf numFmtId="166" fontId="4" fillId="10" borderId="9" xfId="3" applyNumberFormat="1" applyFont="1" applyFill="1" applyBorder="1" applyAlignment="1">
      <alignment horizontal="center"/>
    </xf>
    <xf numFmtId="166" fontId="4" fillId="10" borderId="7" xfId="3" applyNumberFormat="1" applyFont="1" applyFill="1" applyBorder="1" applyAlignment="1">
      <alignment horizontal="center"/>
    </xf>
    <xf numFmtId="166" fontId="4" fillId="10" borderId="10" xfId="3" applyNumberFormat="1" applyFont="1" applyFill="1" applyBorder="1" applyAlignment="1">
      <alignment horizontal="center"/>
    </xf>
    <xf numFmtId="10" fontId="3" fillId="0" borderId="7" xfId="0" applyNumberFormat="1" applyFont="1" applyBorder="1"/>
    <xf numFmtId="166" fontId="4" fillId="10" borderId="11" xfId="3" applyNumberFormat="1" applyFont="1" applyFill="1" applyBorder="1" applyAlignment="1">
      <alignment horizontal="center"/>
    </xf>
    <xf numFmtId="166" fontId="4" fillId="10" borderId="12" xfId="3" applyNumberFormat="1" applyFont="1" applyFill="1" applyBorder="1" applyAlignment="1">
      <alignment horizontal="center"/>
    </xf>
    <xf numFmtId="166" fontId="4" fillId="10" borderId="13" xfId="3" applyNumberFormat="1" applyFont="1" applyFill="1" applyBorder="1" applyAlignment="1">
      <alignment horizontal="center"/>
    </xf>
    <xf numFmtId="166" fontId="4" fillId="5" borderId="14" xfId="3" applyNumberFormat="1" applyFont="1" applyFill="1" applyBorder="1" applyAlignment="1">
      <alignment horizontal="center"/>
    </xf>
    <xf numFmtId="166" fontId="4" fillId="5" borderId="15" xfId="3" applyNumberFormat="1" applyFont="1" applyFill="1" applyBorder="1" applyAlignment="1">
      <alignment horizontal="center"/>
    </xf>
    <xf numFmtId="166" fontId="4" fillId="5" borderId="16" xfId="3" applyNumberFormat="1" applyFont="1" applyFill="1" applyBorder="1" applyAlignment="1">
      <alignment horizontal="center"/>
    </xf>
    <xf numFmtId="0" fontId="3" fillId="12" borderId="7" xfId="0" applyFont="1" applyFill="1" applyBorder="1"/>
    <xf numFmtId="164" fontId="3" fillId="0" borderId="0" xfId="2" applyNumberFormat="1" applyFont="1"/>
    <xf numFmtId="0" fontId="3" fillId="12" borderId="17" xfId="0" applyFont="1" applyFill="1" applyBorder="1"/>
    <xf numFmtId="166" fontId="4" fillId="6" borderId="14" xfId="3" applyNumberFormat="1" applyFont="1" applyFill="1" applyBorder="1" applyAlignment="1">
      <alignment horizontal="center"/>
    </xf>
    <xf numFmtId="166" fontId="4" fillId="6" borderId="15" xfId="3" applyNumberFormat="1" applyFont="1" applyFill="1" applyBorder="1" applyAlignment="1">
      <alignment horizontal="center"/>
    </xf>
    <xf numFmtId="166" fontId="4" fillId="6" borderId="16" xfId="3" applyNumberFormat="1" applyFont="1" applyFill="1" applyBorder="1" applyAlignment="1">
      <alignment horizontal="center"/>
    </xf>
    <xf numFmtId="166" fontId="4" fillId="8" borderId="14" xfId="3" applyNumberFormat="1" applyFont="1" applyFill="1" applyBorder="1" applyAlignment="1">
      <alignment horizontal="center"/>
    </xf>
    <xf numFmtId="166" fontId="4" fillId="8" borderId="15" xfId="3" applyNumberFormat="1" applyFont="1" applyFill="1" applyBorder="1" applyAlignment="1">
      <alignment horizontal="center"/>
    </xf>
    <xf numFmtId="166" fontId="4" fillId="8" borderId="16" xfId="3" applyNumberFormat="1" applyFont="1" applyFill="1" applyBorder="1" applyAlignment="1">
      <alignment horizontal="center"/>
    </xf>
    <xf numFmtId="0" fontId="3" fillId="0" borderId="7" xfId="0" applyFont="1" applyBorder="1"/>
    <xf numFmtId="2" fontId="3" fillId="0" borderId="0" xfId="0" applyNumberFormat="1" applyFont="1"/>
    <xf numFmtId="0" fontId="8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2" fillId="11" borderId="7" xfId="0" applyFont="1" applyFill="1" applyBorder="1"/>
    <xf numFmtId="0" fontId="2" fillId="11" borderId="7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wrapText="1"/>
    </xf>
    <xf numFmtId="168" fontId="3" fillId="5" borderId="7" xfId="1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168" fontId="3" fillId="12" borderId="7" xfId="1" applyNumberFormat="1" applyFont="1" applyFill="1" applyBorder="1"/>
    <xf numFmtId="168" fontId="3" fillId="6" borderId="7" xfId="1" applyNumberFormat="1" applyFont="1" applyFill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13" borderId="7" xfId="0" applyFont="1" applyFill="1" applyBorder="1" applyAlignment="1">
      <alignment horizontal="center"/>
    </xf>
    <xf numFmtId="168" fontId="3" fillId="13" borderId="7" xfId="1" applyNumberFormat="1" applyFont="1" applyFill="1" applyBorder="1"/>
    <xf numFmtId="0" fontId="3" fillId="0" borderId="21" xfId="0" applyFont="1" applyBorder="1"/>
    <xf numFmtId="168" fontId="3" fillId="0" borderId="22" xfId="1" applyNumberFormat="1" applyFont="1" applyBorder="1"/>
    <xf numFmtId="0" fontId="3" fillId="0" borderId="23" xfId="0" applyFont="1" applyBorder="1"/>
    <xf numFmtId="0" fontId="3" fillId="0" borderId="24" xfId="0" applyFont="1" applyBorder="1"/>
    <xf numFmtId="168" fontId="3" fillId="0" borderId="25" xfId="1" applyNumberFormat="1" applyFont="1" applyBorder="1"/>
    <xf numFmtId="168" fontId="3" fillId="10" borderId="7" xfId="1" applyNumberFormat="1" applyFont="1" applyFill="1" applyBorder="1"/>
    <xf numFmtId="0" fontId="3" fillId="14" borderId="7" xfId="0" applyFont="1" applyFill="1" applyBorder="1"/>
    <xf numFmtId="0" fontId="3" fillId="14" borderId="7" xfId="0" applyFont="1" applyFill="1" applyBorder="1" applyAlignment="1">
      <alignment horizontal="center"/>
    </xf>
    <xf numFmtId="6" fontId="3" fillId="14" borderId="7" xfId="0" applyNumberFormat="1" applyFont="1" applyFill="1" applyBorder="1" applyAlignment="1">
      <alignment horizontal="center"/>
    </xf>
    <xf numFmtId="166" fontId="4" fillId="14" borderId="9" xfId="3" applyNumberFormat="1" applyFont="1" applyFill="1" applyBorder="1" applyAlignment="1">
      <alignment horizontal="center"/>
    </xf>
    <xf numFmtId="166" fontId="4" fillId="14" borderId="7" xfId="3" applyNumberFormat="1" applyFont="1" applyFill="1" applyBorder="1" applyAlignment="1">
      <alignment horizontal="center"/>
    </xf>
    <xf numFmtId="166" fontId="4" fillId="14" borderId="10" xfId="3" applyNumberFormat="1" applyFont="1" applyFill="1" applyBorder="1" applyAlignment="1">
      <alignment horizontal="center"/>
    </xf>
    <xf numFmtId="164" fontId="3" fillId="14" borderId="7" xfId="3" applyNumberFormat="1" applyFont="1" applyFill="1" applyBorder="1" applyAlignment="1">
      <alignment horizontal="center"/>
    </xf>
    <xf numFmtId="166" fontId="4" fillId="14" borderId="11" xfId="3" applyNumberFormat="1" applyFont="1" applyFill="1" applyBorder="1" applyAlignment="1">
      <alignment horizontal="center"/>
    </xf>
    <xf numFmtId="166" fontId="4" fillId="14" borderId="12" xfId="3" applyNumberFormat="1" applyFont="1" applyFill="1" applyBorder="1" applyAlignment="1">
      <alignment horizontal="center"/>
    </xf>
    <xf numFmtId="166" fontId="4" fillId="14" borderId="13" xfId="3" applyNumberFormat="1" applyFont="1" applyFill="1" applyBorder="1" applyAlignment="1">
      <alignment horizontal="center"/>
    </xf>
    <xf numFmtId="166" fontId="4" fillId="14" borderId="14" xfId="3" applyNumberFormat="1" applyFont="1" applyFill="1" applyBorder="1" applyAlignment="1">
      <alignment horizontal="center"/>
    </xf>
    <xf numFmtId="166" fontId="4" fillId="14" borderId="15" xfId="3" applyNumberFormat="1" applyFont="1" applyFill="1" applyBorder="1" applyAlignment="1">
      <alignment horizontal="center"/>
    </xf>
    <xf numFmtId="166" fontId="4" fillId="14" borderId="16" xfId="3" applyNumberFormat="1" applyFont="1" applyFill="1" applyBorder="1" applyAlignment="1">
      <alignment horizontal="center"/>
    </xf>
    <xf numFmtId="0" fontId="11" fillId="0" borderId="0" xfId="0" applyFont="1"/>
    <xf numFmtId="0" fontId="11" fillId="0" borderId="7" xfId="0" applyFont="1" applyBorder="1" applyAlignment="1">
      <alignment horizontal="centerContinuous"/>
    </xf>
    <xf numFmtId="0" fontId="11" fillId="0" borderId="7" xfId="0" applyFont="1" applyBorder="1" applyAlignment="1">
      <alignment wrapText="1"/>
    </xf>
    <xf numFmtId="0" fontId="11" fillId="0" borderId="7" xfId="0" applyFont="1" applyBorder="1" applyAlignment="1">
      <alignment horizontal="center" wrapText="1"/>
    </xf>
    <xf numFmtId="0" fontId="11" fillId="5" borderId="0" xfId="0" applyFont="1" applyFill="1"/>
    <xf numFmtId="0" fontId="11" fillId="0" borderId="0" xfId="0" applyFont="1" applyAlignment="1">
      <alignment wrapText="1"/>
    </xf>
    <xf numFmtId="0" fontId="11" fillId="5" borderId="26" xfId="0" applyFont="1" applyFill="1" applyBorder="1" applyAlignment="1">
      <alignment horizontal="centerContinuous"/>
    </xf>
    <xf numFmtId="0" fontId="11" fillId="5" borderId="27" xfId="0" applyFont="1" applyFill="1" applyBorder="1" applyAlignment="1">
      <alignment horizontal="centerContinuous"/>
    </xf>
    <xf numFmtId="0" fontId="11" fillId="0" borderId="7" xfId="0" applyFont="1" applyBorder="1" applyAlignment="1">
      <alignment horizontal="center"/>
    </xf>
    <xf numFmtId="9" fontId="12" fillId="5" borderId="7" xfId="0" quotePrefix="1" applyNumberFormat="1" applyFont="1" applyFill="1" applyBorder="1" applyAlignment="1">
      <alignment horizontal="center" vertical="center" wrapText="1"/>
    </xf>
    <xf numFmtId="0" fontId="13" fillId="5" borderId="0" xfId="0" applyFont="1" applyFill="1"/>
    <xf numFmtId="0" fontId="14" fillId="8" borderId="0" xfId="0" applyFont="1" applyFill="1"/>
    <xf numFmtId="0" fontId="14" fillId="8" borderId="18" xfId="0" applyFont="1" applyFill="1" applyBorder="1"/>
    <xf numFmtId="0" fontId="14" fillId="8" borderId="28" xfId="0" applyFont="1" applyFill="1" applyBorder="1"/>
    <xf numFmtId="0" fontId="14" fillId="8" borderId="20" xfId="0" applyFont="1" applyFill="1" applyBorder="1"/>
    <xf numFmtId="0" fontId="11" fillId="5" borderId="28" xfId="0" applyFont="1" applyFill="1" applyBorder="1"/>
    <xf numFmtId="0" fontId="11" fillId="0" borderId="29" xfId="0" applyFont="1" applyBorder="1"/>
    <xf numFmtId="0" fontId="11" fillId="0" borderId="8" xfId="0" applyFont="1" applyBorder="1"/>
    <xf numFmtId="0" fontId="11" fillId="0" borderId="1" xfId="0" applyFont="1" applyBorder="1"/>
    <xf numFmtId="0" fontId="11" fillId="0" borderId="3" xfId="0" applyFont="1" applyBorder="1" applyAlignment="1">
      <alignment horizontal="right"/>
    </xf>
    <xf numFmtId="0" fontId="11" fillId="0" borderId="7" xfId="0" applyFont="1" applyBorder="1"/>
    <xf numFmtId="0" fontId="11" fillId="0" borderId="7" xfId="0" applyFont="1" applyBorder="1" applyAlignment="1">
      <alignment horizontal="right"/>
    </xf>
    <xf numFmtId="0" fontId="11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5" borderId="7" xfId="0" applyFont="1" applyFill="1" applyBorder="1"/>
    <xf numFmtId="0" fontId="11" fillId="5" borderId="7" xfId="0" applyFont="1" applyFill="1" applyBorder="1" applyAlignment="1">
      <alignment horizontal="right"/>
    </xf>
    <xf numFmtId="0" fontId="11" fillId="5" borderId="7" xfId="0" applyFont="1" applyFill="1" applyBorder="1" applyAlignment="1">
      <alignment horizontal="center"/>
    </xf>
    <xf numFmtId="4" fontId="12" fillId="5" borderId="7" xfId="0" quotePrefix="1" applyNumberFormat="1" applyFont="1" applyFill="1" applyBorder="1" applyAlignment="1">
      <alignment horizontal="center" vertical="center" wrapText="1"/>
    </xf>
    <xf numFmtId="0" fontId="11" fillId="7" borderId="7" xfId="0" applyFont="1" applyFill="1" applyBorder="1"/>
    <xf numFmtId="0" fontId="11" fillId="7" borderId="7" xfId="0" applyFont="1" applyFill="1" applyBorder="1" applyAlignment="1">
      <alignment horizontal="center"/>
    </xf>
    <xf numFmtId="0" fontId="11" fillId="9" borderId="7" xfId="0" applyFont="1" applyFill="1" applyBorder="1"/>
    <xf numFmtId="0" fontId="11" fillId="9" borderId="7" xfId="0" applyFont="1" applyFill="1" applyBorder="1" applyAlignment="1">
      <alignment horizontal="center"/>
    </xf>
    <xf numFmtId="0" fontId="11" fillId="0" borderId="33" xfId="0" applyFont="1" applyBorder="1"/>
    <xf numFmtId="0" fontId="11" fillId="0" borderId="34" xfId="0" applyFont="1" applyBorder="1"/>
    <xf numFmtId="0" fontId="11" fillId="11" borderId="7" xfId="0" applyFont="1" applyFill="1" applyBorder="1"/>
    <xf numFmtId="0" fontId="11" fillId="11" borderId="7" xfId="0" applyFont="1" applyFill="1" applyBorder="1" applyAlignment="1">
      <alignment horizontal="center"/>
    </xf>
    <xf numFmtId="0" fontId="11" fillId="0" borderId="35" xfId="0" applyFont="1" applyBorder="1"/>
    <xf numFmtId="0" fontId="11" fillId="0" borderId="17" xfId="0" applyFont="1" applyBorder="1"/>
    <xf numFmtId="0" fontId="11" fillId="12" borderId="7" xfId="0" applyFont="1" applyFill="1" applyBorder="1"/>
    <xf numFmtId="0" fontId="11" fillId="12" borderId="7" xfId="0" applyFont="1" applyFill="1" applyBorder="1" applyAlignment="1">
      <alignment horizontal="right"/>
    </xf>
    <xf numFmtId="0" fontId="11" fillId="12" borderId="7" xfId="0" applyFont="1" applyFill="1" applyBorder="1" applyAlignment="1">
      <alignment horizontal="center"/>
    </xf>
    <xf numFmtId="0" fontId="11" fillId="12" borderId="17" xfId="0" applyFont="1" applyFill="1" applyBorder="1"/>
    <xf numFmtId="0" fontId="11" fillId="12" borderId="17" xfId="0" applyFont="1" applyFill="1" applyBorder="1" applyAlignment="1">
      <alignment horizontal="center"/>
    </xf>
    <xf numFmtId="0" fontId="11" fillId="0" borderId="15" xfId="0" applyFont="1" applyBorder="1"/>
    <xf numFmtId="0" fontId="11" fillId="5" borderId="1" xfId="0" applyFont="1" applyFill="1" applyBorder="1"/>
    <xf numFmtId="0" fontId="11" fillId="0" borderId="1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right"/>
    </xf>
    <xf numFmtId="10" fontId="11" fillId="0" borderId="17" xfId="2" applyNumberFormat="1" applyFont="1" applyBorder="1" applyAlignment="1">
      <alignment horizontal="center"/>
    </xf>
    <xf numFmtId="10" fontId="11" fillId="0" borderId="30" xfId="2" applyNumberFormat="1" applyFont="1" applyBorder="1" applyAlignment="1">
      <alignment horizontal="center"/>
    </xf>
    <xf numFmtId="10" fontId="11" fillId="0" borderId="30" xfId="0" applyNumberFormat="1" applyFont="1" applyBorder="1" applyAlignment="1">
      <alignment horizontal="center"/>
    </xf>
    <xf numFmtId="10" fontId="11" fillId="0" borderId="15" xfId="0" applyNumberFormat="1" applyFont="1" applyBorder="1" applyAlignment="1">
      <alignment horizontal="center"/>
    </xf>
    <xf numFmtId="0" fontId="15" fillId="5" borderId="1" xfId="0" applyFont="1" applyFill="1" applyBorder="1" applyAlignment="1">
      <alignment horizontal="centerContinuous"/>
    </xf>
    <xf numFmtId="0" fontId="15" fillId="5" borderId="2" xfId="0" applyFont="1" applyFill="1" applyBorder="1" applyAlignment="1">
      <alignment horizontal="centerContinuous"/>
    </xf>
    <xf numFmtId="0" fontId="15" fillId="5" borderId="3" xfId="0" applyFont="1" applyFill="1" applyBorder="1" applyAlignment="1">
      <alignment horizontal="centerContinuous"/>
    </xf>
    <xf numFmtId="0" fontId="15" fillId="15" borderId="7" xfId="0" applyFont="1" applyFill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vertical="center"/>
    </xf>
    <xf numFmtId="0" fontId="11" fillId="5" borderId="7" xfId="2" applyNumberFormat="1" applyFont="1" applyFill="1" applyBorder="1" applyAlignment="1">
      <alignment horizontal="center"/>
    </xf>
    <xf numFmtId="0" fontId="0" fillId="0" borderId="7" xfId="0" applyBorder="1"/>
    <xf numFmtId="0" fontId="16" fillId="16" borderId="7" xfId="0" applyFont="1" applyFill="1" applyBorder="1" applyAlignment="1">
      <alignment vertical="center"/>
    </xf>
    <xf numFmtId="0" fontId="16" fillId="16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9" fontId="0" fillId="0" borderId="0" xfId="0" applyNumberFormat="1"/>
    <xf numFmtId="3" fontId="0" fillId="0" borderId="0" xfId="0" applyNumberFormat="1"/>
    <xf numFmtId="0" fontId="0" fillId="0" borderId="0" xfId="0" quotePrefix="1"/>
    <xf numFmtId="43" fontId="0" fillId="0" borderId="0" xfId="1" applyFont="1"/>
    <xf numFmtId="10" fontId="0" fillId="0" borderId="0" xfId="2" applyNumberFormat="1" applyFont="1"/>
    <xf numFmtId="43" fontId="0" fillId="0" borderId="0" xfId="0" applyNumberFormat="1"/>
    <xf numFmtId="6" fontId="3" fillId="0" borderId="0" xfId="0" applyNumberFormat="1" applyFont="1" applyAlignment="1">
      <alignment horizontal="center"/>
    </xf>
    <xf numFmtId="166" fontId="4" fillId="0" borderId="0" xfId="3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5" borderId="0" xfId="3" applyNumberFormat="1" applyFont="1" applyFill="1" applyBorder="1" applyAlignment="1">
      <alignment horizontal="center"/>
    </xf>
    <xf numFmtId="164" fontId="3" fillId="14" borderId="0" xfId="3" applyNumberFormat="1" applyFont="1" applyFill="1" applyBorder="1" applyAlignment="1">
      <alignment horizontal="center"/>
    </xf>
    <xf numFmtId="164" fontId="3" fillId="8" borderId="0" xfId="3" applyNumberFormat="1" applyFont="1" applyFill="1" applyBorder="1" applyAlignment="1">
      <alignment horizontal="center"/>
    </xf>
    <xf numFmtId="164" fontId="3" fillId="10" borderId="0" xfId="3" applyNumberFormat="1" applyFont="1" applyFill="1" applyBorder="1" applyAlignment="1">
      <alignment horizontal="center"/>
    </xf>
    <xf numFmtId="0" fontId="8" fillId="2" borderId="0" xfId="0" applyFont="1" applyFill="1"/>
    <xf numFmtId="167" fontId="8" fillId="2" borderId="0" xfId="2" applyNumberFormat="1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6" fontId="3" fillId="0" borderId="0" xfId="0" applyNumberFormat="1" applyFont="1" applyAlignment="1">
      <alignment horizontal="center" wrapText="1"/>
    </xf>
  </cellXfs>
  <cellStyles count="4">
    <cellStyle name="Comma" xfId="1" builtinId="3"/>
    <cellStyle name="Normal" xfId="0" builtinId="0"/>
    <cellStyle name="Per cent" xfId="2" builtinId="5"/>
    <cellStyle name="Percent 2" xfId="3" xr:uid="{8D309F0A-55FA-4FFC-A049-84E2691A2727}"/>
  </cellStyles>
  <dxfs count="8"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217714</xdr:colOff>
      <xdr:row>1</xdr:row>
      <xdr:rowOff>198800</xdr:rowOff>
    </xdr:from>
    <xdr:to>
      <xdr:col>78</xdr:col>
      <xdr:colOff>356111</xdr:colOff>
      <xdr:row>6</xdr:row>
      <xdr:rowOff>9499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A54BC-832B-40C5-81ED-3180D879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9164" y="417875"/>
          <a:ext cx="2310096" cy="915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47625</xdr:rowOff>
    </xdr:from>
    <xdr:to>
      <xdr:col>5</xdr:col>
      <xdr:colOff>133895</xdr:colOff>
      <xdr:row>46</xdr:row>
      <xdr:rowOff>105581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FAB8D-7C1E-1707-49DB-57E6A1CE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095625"/>
          <a:ext cx="390579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62</xdr:row>
      <xdr:rowOff>161925</xdr:rowOff>
    </xdr:from>
    <xdr:to>
      <xdr:col>16</xdr:col>
      <xdr:colOff>96827</xdr:colOff>
      <xdr:row>71</xdr:row>
      <xdr:rowOff>66901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B8F434-A18D-85EF-CC6E-D8364772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11982450"/>
          <a:ext cx="11298227" cy="1619476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5</xdr:row>
      <xdr:rowOff>180975</xdr:rowOff>
    </xdr:from>
    <xdr:to>
      <xdr:col>6</xdr:col>
      <xdr:colOff>280328</xdr:colOff>
      <xdr:row>10</xdr:row>
      <xdr:rowOff>51506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2AD901-B964-A053-B9AE-C81AA70B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475" y="1133475"/>
          <a:ext cx="3375953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90</xdr:row>
      <xdr:rowOff>152400</xdr:rowOff>
    </xdr:from>
    <xdr:to>
      <xdr:col>8</xdr:col>
      <xdr:colOff>423401</xdr:colOff>
      <xdr:row>96</xdr:row>
      <xdr:rowOff>129637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F1202C-5F69-80D4-F5F9-FDD1F2DA0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775" y="17802225"/>
          <a:ext cx="5662151" cy="11202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7</xdr:col>
      <xdr:colOff>29034</xdr:colOff>
      <xdr:row>120</xdr:row>
      <xdr:rowOff>30780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BDA7F3-22E9-DE00-1766-2CE33EE6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935825"/>
          <a:ext cx="5296359" cy="34597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7</xdr:col>
      <xdr:colOff>82379</xdr:colOff>
      <xdr:row>132</xdr:row>
      <xdr:rowOff>152512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242C11-C443-9455-1136-FEA7659E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507825"/>
          <a:ext cx="5349704" cy="1295512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50</xdr:row>
      <xdr:rowOff>161925</xdr:rowOff>
    </xdr:from>
    <xdr:to>
      <xdr:col>6</xdr:col>
      <xdr:colOff>387106</xdr:colOff>
      <xdr:row>61</xdr:row>
      <xdr:rowOff>169727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B2D26C-C8FC-C5EC-76F9-A836801E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" y="9686925"/>
          <a:ext cx="4511431" cy="2103302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147</xdr:row>
      <xdr:rowOff>123825</xdr:rowOff>
    </xdr:from>
    <xdr:to>
      <xdr:col>12</xdr:col>
      <xdr:colOff>473230</xdr:colOff>
      <xdr:row>152</xdr:row>
      <xdr:rowOff>101046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4775B77-A536-9392-F51E-D0AD3000A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" y="29013150"/>
          <a:ext cx="9121930" cy="9297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Yushak/Downloads/Archwest%20Capital%20RTL%20Sizer%209_03_2024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eligible Property"/>
      <sheetName val="Salesforce Upload"/>
      <sheetName val="Internal Valuation"/>
      <sheetName val="Exception Report"/>
      <sheetName val="Lists"/>
      <sheetName val="Master Sizer Inputs"/>
      <sheetName val="SF data "/>
      <sheetName val="Experience Calculator"/>
      <sheetName val="RTL Engine -&gt;"/>
      <sheetName val="RTL Coding"/>
      <sheetName val="Engine"/>
      <sheetName val="Pricing Sheet Mod"/>
      <sheetName val="Deal Summary -&gt;"/>
      <sheetName val="Deal Underwriting Overview"/>
      <sheetName val="Deal Overview Engine"/>
      <sheetName val="MSA Analysis"/>
      <sheetName val="Salesforce Tabs -&gt;"/>
      <sheetName val="Portfolio Drop"/>
      <sheetName val="SFUpload"/>
      <sheetName val="Enabler4Excel_Picklist_Values"/>
      <sheetName val="Salesforce Refresh "/>
      <sheetName val="Unit Refresh"/>
      <sheetName val="SFProperty"/>
      <sheetName val="SFUnit"/>
      <sheetName val="Rates -&gt;"/>
      <sheetName val="User Table"/>
      <sheetName val="Rates"/>
      <sheetName val=" To Discuss With Bain"/>
      <sheetName val="Fields to Track"/>
      <sheetName val="Archwest Capital RTL Sizer 9_03"/>
    </sheetNames>
    <sheetDataSet>
      <sheetData sheetId="0"/>
      <sheetData sheetId="1"/>
      <sheetData sheetId="2"/>
      <sheetData sheetId="3"/>
      <sheetData sheetId="4"/>
      <sheetData sheetId="5"/>
      <sheetData sheetId="6">
        <row r="29">
          <cell r="T2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BE3AE-CB0B-4D6B-A9C7-86176406A540}" name="States_lend" displayName="States_lend" ref="AB3:AG54" totalsRowShown="0" headerRowDxfId="7" dataDxfId="6">
  <autoFilter ref="AB3:AG54" xr:uid="{50FDE4D4-0062-4686-AFAC-D9FF971DA1DA}"/>
  <tableColumns count="6">
    <tableColumn id="1" xr3:uid="{A2360A38-996F-4235-8AF3-DD9EDCA3EFC7}" name="States" dataDxfId="5"/>
    <tableColumn id="2" xr3:uid="{554BE9CA-570A-49C7-AADE-D653526AAF7F}" name="Able to Lend" dataDxfId="4"/>
    <tableColumn id="3" xr3:uid="{E626395B-F60C-4E9E-98C3-F7947F6B88D2}" name="Tier rank " dataDxfId="3"/>
    <tableColumn id="4" xr3:uid="{1DCBAD69-C8FE-4EDA-9F6E-E683E76D5428}" name="Tier 1" dataDxfId="2">
      <calculatedColumnFormula>IF(States_lend[[#This Row],[Tier rank ]]="Tier 1", States_lend[[#This Row],[States]],"")</calculatedColumnFormula>
    </tableColumn>
    <tableColumn id="5" xr3:uid="{BB1DD91D-28F3-45A3-803A-E2BE0F7128BA}" name="Tier 2" dataDxfId="1">
      <calculatedColumnFormula>IF(States_lend[[#This Row],[Tier rank ]]="Tier 2", States_lend[[#This Row],[States]],"")</calculatedColumnFormula>
    </tableColumn>
    <tableColumn id="6" xr3:uid="{702BC045-6F9C-487C-8528-5C7B4015A582}" name="Tier 3" dataDxfId="0">
      <calculatedColumnFormula>IF(States_lend[[#This Row],[Tier rank ]]="Tier 3", States_lend[[#This Row],[States]],"")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B8B5-F9BF-49C4-946E-5EDA7ED02F72}">
  <sheetPr codeName="Sheet6">
    <tabColor theme="4" tint="0.79998168889431442"/>
    <pageSetUpPr fitToPage="1"/>
  </sheetPr>
  <dimension ref="C3:BZ118"/>
  <sheetViews>
    <sheetView showGridLines="0" tabSelected="1" view="pageBreakPreview" topLeftCell="F5" zoomScale="76" zoomScaleNormal="25" zoomScaleSheetLayoutView="25" workbookViewId="0">
      <selection activeCell="A13" sqref="A13:XFD13"/>
    </sheetView>
  </sheetViews>
  <sheetFormatPr defaultColWidth="16.28515625" defaultRowHeight="15.95" outlineLevelRow="1" outlineLevelCol="1"/>
  <cols>
    <col min="1" max="11" width="16.28515625" style="2"/>
    <col min="12" max="57" width="16.28515625" style="2" outlineLevel="1"/>
    <col min="58" max="16384" width="16.28515625" style="2"/>
  </cols>
  <sheetData>
    <row r="3" spans="3:75">
      <c r="C3" s="1" t="s">
        <v>0</v>
      </c>
    </row>
    <row r="4" spans="3:75">
      <c r="C4" s="1" t="s">
        <v>1</v>
      </c>
      <c r="AV4" s="3"/>
    </row>
    <row r="5" spans="3:75">
      <c r="D5" s="1"/>
      <c r="E5" s="1"/>
      <c r="F5" s="1"/>
      <c r="G5" s="1"/>
      <c r="H5" s="1"/>
      <c r="J5" s="1"/>
      <c r="K5" s="1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3:75" ht="18" customHeight="1">
      <c r="C6" s="1" t="s">
        <v>2</v>
      </c>
      <c r="L6" s="216" t="s">
        <v>3</v>
      </c>
      <c r="M6" s="217"/>
      <c r="N6" s="218"/>
      <c r="O6" s="216" t="s">
        <v>4</v>
      </c>
      <c r="P6" s="217"/>
      <c r="Q6" s="218"/>
      <c r="R6" s="216" t="s">
        <v>5</v>
      </c>
      <c r="S6" s="217"/>
      <c r="T6" s="218"/>
      <c r="U6" s="216" t="s">
        <v>6</v>
      </c>
      <c r="V6" s="217"/>
      <c r="W6" s="218"/>
      <c r="X6" s="216" t="s">
        <v>7</v>
      </c>
      <c r="Y6" s="217"/>
      <c r="Z6" s="218"/>
      <c r="AA6" s="213" t="s">
        <v>8</v>
      </c>
      <c r="AB6" s="214"/>
      <c r="AC6" s="215"/>
      <c r="AW6" s="6"/>
      <c r="AY6" s="7"/>
      <c r="BF6" s="8" t="s">
        <v>9</v>
      </c>
    </row>
    <row r="7" spans="3:75" ht="49.5" customHeight="1">
      <c r="C7" s="9" t="s">
        <v>10</v>
      </c>
      <c r="L7" s="206" t="s">
        <v>11</v>
      </c>
      <c r="M7" s="207"/>
      <c r="N7" s="208"/>
      <c r="O7" s="207" t="s">
        <v>12</v>
      </c>
      <c r="P7" s="207"/>
      <c r="Q7" s="208"/>
      <c r="R7" s="207" t="s">
        <v>13</v>
      </c>
      <c r="S7" s="207"/>
      <c r="T7" s="208"/>
      <c r="U7" s="206" t="s">
        <v>14</v>
      </c>
      <c r="V7" s="207"/>
      <c r="W7" s="208"/>
      <c r="X7" s="206" t="s">
        <v>15</v>
      </c>
      <c r="Y7" s="209"/>
      <c r="Z7" s="210"/>
      <c r="AA7" s="206" t="s">
        <v>16</v>
      </c>
      <c r="AB7" s="209"/>
      <c r="AC7" s="210"/>
      <c r="AD7" s="5"/>
      <c r="AE7" s="5"/>
      <c r="AF7" s="10" t="s">
        <v>17</v>
      </c>
      <c r="AG7" s="10"/>
      <c r="AH7" s="11" t="s">
        <v>18</v>
      </c>
      <c r="AI7" s="11"/>
      <c r="AJ7" s="11" t="s">
        <v>19</v>
      </c>
      <c r="AK7" s="11"/>
      <c r="AN7" s="8"/>
      <c r="BF7" s="203" t="s">
        <v>11</v>
      </c>
      <c r="BG7" s="211"/>
      <c r="BH7" s="212"/>
      <c r="BI7" s="203" t="s">
        <v>12</v>
      </c>
      <c r="BJ7" s="211"/>
      <c r="BK7" s="212"/>
      <c r="BL7" s="203" t="s">
        <v>13</v>
      </c>
      <c r="BM7" s="211"/>
      <c r="BN7" s="212"/>
      <c r="BO7" s="203" t="s">
        <v>14</v>
      </c>
      <c r="BP7" s="211"/>
      <c r="BQ7" s="212"/>
      <c r="BR7" s="203" t="s">
        <v>15</v>
      </c>
      <c r="BS7" s="204"/>
      <c r="BT7" s="205"/>
      <c r="BU7" s="203" t="s">
        <v>16</v>
      </c>
      <c r="BV7" s="204"/>
      <c r="BW7" s="205"/>
    </row>
    <row r="8" spans="3:75" ht="40.15" customHeight="1">
      <c r="C8" s="12" t="s">
        <v>20</v>
      </c>
      <c r="D8" s="12" t="s">
        <v>21</v>
      </c>
      <c r="E8" s="13" t="s">
        <v>22</v>
      </c>
      <c r="F8" s="13" t="s">
        <v>23</v>
      </c>
      <c r="G8" s="13" t="s">
        <v>24</v>
      </c>
      <c r="H8" s="13" t="s">
        <v>25</v>
      </c>
      <c r="I8" s="13" t="s">
        <v>26</v>
      </c>
      <c r="J8" s="13" t="s">
        <v>27</v>
      </c>
      <c r="K8" s="13" t="s">
        <v>28</v>
      </c>
      <c r="L8" s="13" t="s">
        <v>29</v>
      </c>
      <c r="M8" s="13" t="s">
        <v>30</v>
      </c>
      <c r="N8" s="13" t="s">
        <v>31</v>
      </c>
      <c r="O8" s="13" t="s">
        <v>29</v>
      </c>
      <c r="P8" s="13" t="s">
        <v>30</v>
      </c>
      <c r="Q8" s="13" t="s">
        <v>31</v>
      </c>
      <c r="R8" s="13" t="s">
        <v>29</v>
      </c>
      <c r="S8" s="13" t="s">
        <v>30</v>
      </c>
      <c r="T8" s="13" t="s">
        <v>31</v>
      </c>
      <c r="U8" s="13" t="s">
        <v>29</v>
      </c>
      <c r="V8" s="13" t="s">
        <v>30</v>
      </c>
      <c r="W8" s="13" t="s">
        <v>31</v>
      </c>
      <c r="X8" s="13" t="s">
        <v>29</v>
      </c>
      <c r="Y8" s="13" t="s">
        <v>30</v>
      </c>
      <c r="Z8" s="13" t="s">
        <v>31</v>
      </c>
      <c r="AA8" s="13" t="s">
        <v>29</v>
      </c>
      <c r="AB8" s="13" t="s">
        <v>30</v>
      </c>
      <c r="AC8" s="13" t="s">
        <v>31</v>
      </c>
      <c r="AD8" s="13" t="s">
        <v>32</v>
      </c>
      <c r="AE8" s="13" t="s">
        <v>33</v>
      </c>
      <c r="AF8" s="14" t="s">
        <v>34</v>
      </c>
      <c r="AG8" s="14"/>
      <c r="AH8" s="14" t="s">
        <v>18</v>
      </c>
      <c r="AI8" s="14"/>
      <c r="AJ8" s="14" t="s">
        <v>19</v>
      </c>
      <c r="AK8" s="196"/>
      <c r="AN8" s="15" t="s">
        <v>35</v>
      </c>
      <c r="AO8" s="16"/>
      <c r="AQ8" s="15" t="s">
        <v>35</v>
      </c>
      <c r="AR8" s="16"/>
      <c r="BF8" s="13" t="s">
        <v>29</v>
      </c>
      <c r="BG8" s="13" t="s">
        <v>30</v>
      </c>
      <c r="BH8" s="13" t="s">
        <v>31</v>
      </c>
      <c r="BI8" s="13" t="s">
        <v>29</v>
      </c>
      <c r="BJ8" s="13" t="s">
        <v>30</v>
      </c>
      <c r="BK8" s="13" t="s">
        <v>31</v>
      </c>
      <c r="BL8" s="13" t="s">
        <v>29</v>
      </c>
      <c r="BM8" s="13" t="s">
        <v>30</v>
      </c>
      <c r="BN8" s="13" t="s">
        <v>31</v>
      </c>
      <c r="BO8" s="13" t="s">
        <v>29</v>
      </c>
      <c r="BP8" s="13" t="s">
        <v>30</v>
      </c>
      <c r="BQ8" s="13" t="s">
        <v>31</v>
      </c>
      <c r="BR8" s="13" t="s">
        <v>29</v>
      </c>
      <c r="BS8" s="13" t="s">
        <v>30</v>
      </c>
      <c r="BT8" s="13" t="s">
        <v>31</v>
      </c>
      <c r="BU8" s="13" t="s">
        <v>29</v>
      </c>
      <c r="BV8" s="13" t="s">
        <v>30</v>
      </c>
      <c r="BW8" s="13" t="s">
        <v>31</v>
      </c>
    </row>
    <row r="9" spans="3:75" ht="15" hidden="1" customHeight="1" outlineLevel="1">
      <c r="C9" s="17"/>
      <c r="D9" s="17"/>
      <c r="E9" s="17"/>
      <c r="F9" s="18"/>
      <c r="G9" s="18"/>
      <c r="H9" s="18"/>
      <c r="I9" s="18"/>
      <c r="J9" s="18"/>
      <c r="K9" s="18"/>
      <c r="L9" s="19" t="str">
        <f>L6&amp;L8</f>
        <v>Purchase LTV</v>
      </c>
      <c r="M9" s="19" t="str">
        <f>L6&amp;M8</f>
        <v>Purchase LTARV</v>
      </c>
      <c r="N9" s="19" t="str">
        <f>L6&amp;N8</f>
        <v>Purchase LTC</v>
      </c>
      <c r="O9" s="19" t="str">
        <f>O6&amp;O8</f>
        <v>Purchase BF RehabLTV</v>
      </c>
      <c r="P9" s="19" t="str">
        <f>O6&amp;P8</f>
        <v>Purchase BF RehabLTARV</v>
      </c>
      <c r="Q9" s="19" t="str">
        <f>O6&amp;Q8</f>
        <v>Purchase BF RehabLTC</v>
      </c>
      <c r="R9" s="19" t="str">
        <f>R6&amp;R8</f>
        <v>Refinance LF RehabLTV</v>
      </c>
      <c r="S9" s="19" t="str">
        <f>R6&amp;S8</f>
        <v>Refinance LF RehabLTARV</v>
      </c>
      <c r="T9" s="19" t="str">
        <f>R6&amp;T8</f>
        <v>Refinance LF RehabLTC</v>
      </c>
      <c r="U9" s="19" t="str">
        <f>U6&amp;U8</f>
        <v>Bridge Purchase no RehabLTV</v>
      </c>
      <c r="V9" s="19" t="str">
        <f>U6&amp;V8</f>
        <v>Bridge Purchase no RehabLTARV</v>
      </c>
      <c r="W9" s="19" t="str">
        <f>U6&amp;W8</f>
        <v>Bridge Purchase no RehabLTC</v>
      </c>
      <c r="X9" s="19" t="str">
        <f>X6&amp;X8</f>
        <v>REFILTV</v>
      </c>
      <c r="Y9" s="19" t="str">
        <f>X6&amp;Y8</f>
        <v>REFILTARV</v>
      </c>
      <c r="Z9" s="19" t="str">
        <f>X6&amp;Z8</f>
        <v>REFILTC</v>
      </c>
      <c r="AA9" s="19" t="str">
        <f>AA6&amp;AA8</f>
        <v>Bridge Cash out no RehabLTV</v>
      </c>
      <c r="AB9" s="19" t="str">
        <f>AA6&amp;AB8</f>
        <v>Bridge Cash out no RehabLTARV</v>
      </c>
      <c r="AC9" s="19" t="str">
        <f>AA6&amp;AC8</f>
        <v>Bridge Cash out no RehabLTC</v>
      </c>
      <c r="AD9" s="19" t="s">
        <v>36</v>
      </c>
      <c r="AE9" s="19" t="s">
        <v>37</v>
      </c>
      <c r="AF9" s="20" t="s">
        <v>34</v>
      </c>
      <c r="AG9" s="20"/>
      <c r="AH9" s="21" t="s">
        <v>18</v>
      </c>
      <c r="AI9" s="21"/>
      <c r="AJ9" s="22" t="s">
        <v>19</v>
      </c>
      <c r="AK9" s="21"/>
      <c r="AN9" s="23" t="s">
        <v>38</v>
      </c>
      <c r="AO9" s="23" t="s">
        <v>39</v>
      </c>
      <c r="AQ9" s="23" t="s">
        <v>40</v>
      </c>
      <c r="AR9" s="23" t="s">
        <v>41</v>
      </c>
      <c r="AV9" s="8" t="s">
        <v>42</v>
      </c>
    </row>
    <row r="10" spans="3:75" ht="15" customHeight="1" collapsed="1">
      <c r="C10" s="24" t="s">
        <v>43</v>
      </c>
      <c r="D10" s="24" t="s">
        <v>44</v>
      </c>
      <c r="E10" s="25">
        <v>7</v>
      </c>
      <c r="F10" s="25" t="str">
        <f t="shared" ref="F10:F65" si="0">C10&amp;D10&amp;E10</f>
        <v>FNFA7</v>
      </c>
      <c r="G10" s="25">
        <v>740</v>
      </c>
      <c r="H10" s="25" t="str">
        <f>_xlfn.CONCAT(C10,D10,E10,G10,I10)</f>
        <v>FNFA77404</v>
      </c>
      <c r="I10" s="25">
        <v>4</v>
      </c>
      <c r="J10" s="26">
        <v>3500000</v>
      </c>
      <c r="K10" s="26">
        <v>4999999</v>
      </c>
      <c r="L10" s="27">
        <f>+IFERROR(BF10+'[1]Master Sizer Inputs'!$T$29,"N/A")</f>
        <v>0.82500000000000007</v>
      </c>
      <c r="M10" s="28">
        <f>+IFERROR(BG10+'[1]Master Sizer Inputs'!$T$29,"N/A")</f>
        <v>0.77500000000000002</v>
      </c>
      <c r="N10" s="29">
        <f>+IFERROR(BH10+'[1]Master Sizer Inputs'!$T$29,"N/A")</f>
        <v>0.85</v>
      </c>
      <c r="O10" s="27">
        <f>+IFERROR(BI10+'[1]Master Sizer Inputs'!$T$29,"N/A")</f>
        <v>0.82500000000000007</v>
      </c>
      <c r="P10" s="28">
        <f>+IFERROR(BJ10+'[1]Master Sizer Inputs'!$T$29,"N/A")</f>
        <v>0.77500000000000002</v>
      </c>
      <c r="Q10" s="29">
        <f>+IFERROR(BK10+'[1]Master Sizer Inputs'!$T$29,"N/A")</f>
        <v>0.85</v>
      </c>
      <c r="R10" s="27">
        <f>+IFERROR(BL10+'[1]Master Sizer Inputs'!$T$29,"N/A")</f>
        <v>0.82500000000000007</v>
      </c>
      <c r="S10" s="28">
        <f>+IFERROR(BM10+'[1]Master Sizer Inputs'!$T$29,"N/A")</f>
        <v>0.77500000000000002</v>
      </c>
      <c r="T10" s="29">
        <f>+IFERROR(BN10+'[1]Master Sizer Inputs'!$T$29,"N/A")</f>
        <v>0.85</v>
      </c>
      <c r="U10" s="27">
        <f>+IFERROR(BO10+'[1]Master Sizer Inputs'!$T$29,"N/A")</f>
        <v>0.75</v>
      </c>
      <c r="V10" s="28">
        <f>+IFERROR(BP10+'[1]Master Sizer Inputs'!$T$29,"N/A")</f>
        <v>0.77500000000000002</v>
      </c>
      <c r="W10" s="29">
        <f>+IFERROR(BQ10+'[1]Master Sizer Inputs'!$T$29,"N/A")</f>
        <v>0.85</v>
      </c>
      <c r="X10" s="27">
        <f>+IFERROR(BR10+'[1]Master Sizer Inputs'!$T$29,"N/A")</f>
        <v>0.75</v>
      </c>
      <c r="Y10" s="28">
        <f>+IFERROR(BS10+'[1]Master Sizer Inputs'!$T$29,"N/A")</f>
        <v>0.77500000000000002</v>
      </c>
      <c r="Z10" s="29">
        <f>+IFERROR(BT10+'[1]Master Sizer Inputs'!$T$29,"N/A")</f>
        <v>0.85</v>
      </c>
      <c r="AA10" s="27">
        <f>+IFERROR(BU10+'[1]Master Sizer Inputs'!$T$29,"N/A")</f>
        <v>0.72499999999999998</v>
      </c>
      <c r="AB10" s="27">
        <f>+IFERROR(BV10+'[1]Master Sizer Inputs'!$T$29,"N/A")</f>
        <v>0.7</v>
      </c>
      <c r="AC10" s="29">
        <f>+IFERROR(BW10+'[1]Master Sizer Inputs'!$T$29,"N/A")</f>
        <v>0.77499999999999991</v>
      </c>
      <c r="AD10" s="30">
        <f t="shared" ref="AD10:AD65" si="1">$AO$39</f>
        <v>0</v>
      </c>
      <c r="AE10" s="30">
        <v>7.4999999999999997E-3</v>
      </c>
      <c r="AF10" s="30">
        <f>+AF11+$AO$31</f>
        <v>9.154000000000001E-2</v>
      </c>
      <c r="AG10" s="30">
        <f>$AO$26+(2*$AO$31)</f>
        <v>9.154000000000001E-2</v>
      </c>
      <c r="AH10" s="30">
        <f t="shared" ref="AH10:AH41" si="2">+AF10+$AO$30</f>
        <v>9.2040000000000011E-2</v>
      </c>
      <c r="AI10" s="30">
        <f>$AO$26+(1*$AO$30)+(2*$AO$31)</f>
        <v>9.2040000000000011E-2</v>
      </c>
      <c r="AJ10" s="30">
        <f t="shared" ref="AJ10:AJ41" si="3">+AH10+$AO$30</f>
        <v>9.2540000000000011E-2</v>
      </c>
      <c r="AK10" s="197">
        <f>$AO$26+(2*$AO$30)+(2*$AO$31)</f>
        <v>9.2540000000000011E-2</v>
      </c>
      <c r="AN10" s="31" t="s">
        <v>45</v>
      </c>
      <c r="AO10" s="31" t="s">
        <v>46</v>
      </c>
      <c r="AQ10" s="31" t="s">
        <v>45</v>
      </c>
      <c r="AR10" s="31" t="s">
        <v>46</v>
      </c>
      <c r="AV10" s="24" t="s">
        <v>43</v>
      </c>
      <c r="AW10" s="24" t="s">
        <v>44</v>
      </c>
      <c r="AX10" s="24">
        <v>7</v>
      </c>
      <c r="AY10" s="24">
        <v>680</v>
      </c>
      <c r="AZ10" s="24" t="str">
        <f t="shared" ref="AZ10:AZ31" si="4">AV10&amp;AW10&amp;AX10&amp;AY10</f>
        <v>FNFA7680</v>
      </c>
      <c r="BA10" s="24">
        <v>680</v>
      </c>
      <c r="BB10" s="24" t="str">
        <f t="shared" ref="BB10:BB31" si="5">AV10&amp;AW10&amp;AX10&amp;BA10</f>
        <v>FNFA7680</v>
      </c>
      <c r="BF10" s="27">
        <v>0.82500000000000007</v>
      </c>
      <c r="BG10" s="28">
        <v>0.77500000000000002</v>
      </c>
      <c r="BH10" s="29">
        <v>0.85</v>
      </c>
      <c r="BI10" s="27">
        <v>0.82500000000000007</v>
      </c>
      <c r="BJ10" s="28">
        <v>0.77500000000000002</v>
      </c>
      <c r="BK10" s="29">
        <v>0.85</v>
      </c>
      <c r="BL10" s="27">
        <v>0.82500000000000007</v>
      </c>
      <c r="BM10" s="28">
        <v>0.77500000000000002</v>
      </c>
      <c r="BN10" s="29">
        <v>0.85</v>
      </c>
      <c r="BO10" s="27">
        <v>0.75</v>
      </c>
      <c r="BP10" s="28">
        <v>0.77500000000000002</v>
      </c>
      <c r="BQ10" s="29">
        <v>0.85</v>
      </c>
      <c r="BR10" s="27">
        <v>0.75</v>
      </c>
      <c r="BS10" s="28">
        <v>0.77500000000000002</v>
      </c>
      <c r="BT10" s="29">
        <v>0.85</v>
      </c>
      <c r="BU10" s="27">
        <v>0.72499999999999998</v>
      </c>
      <c r="BV10" s="28">
        <v>0.7</v>
      </c>
      <c r="BW10" s="29">
        <v>0.77499999999999991</v>
      </c>
    </row>
    <row r="11" spans="3:75">
      <c r="C11" s="24" t="s">
        <v>43</v>
      </c>
      <c r="D11" s="24" t="s">
        <v>44</v>
      </c>
      <c r="E11" s="25">
        <v>7</v>
      </c>
      <c r="F11" s="25" t="str">
        <f t="shared" si="0"/>
        <v>FNFA7</v>
      </c>
      <c r="G11" s="25">
        <v>740</v>
      </c>
      <c r="H11" s="25" t="str">
        <f t="shared" ref="H11:H65" si="6">_xlfn.CONCAT(C11,D11,E11,G11,I11)</f>
        <v>FNFA77403</v>
      </c>
      <c r="I11" s="25">
        <v>3</v>
      </c>
      <c r="J11" s="26">
        <v>2000000</v>
      </c>
      <c r="K11" s="26">
        <v>3499999</v>
      </c>
      <c r="L11" s="27">
        <f>+IFERROR(BF11+'[1]Master Sizer Inputs'!$T$29,"N/A")</f>
        <v>0.85</v>
      </c>
      <c r="M11" s="28">
        <f>+IFERROR(BG11+'[1]Master Sizer Inputs'!$T$29,"N/A")</f>
        <v>0.8</v>
      </c>
      <c r="N11" s="29">
        <f>+IFERROR(BH11+'[1]Master Sizer Inputs'!$T$29,"N/A")</f>
        <v>0.9</v>
      </c>
      <c r="O11" s="27">
        <f>+IFERROR(BI11+'[1]Master Sizer Inputs'!$T$29,"N/A")</f>
        <v>0.85</v>
      </c>
      <c r="P11" s="28">
        <f>+IFERROR(BJ11+'[1]Master Sizer Inputs'!$T$29,"N/A")</f>
        <v>0.8</v>
      </c>
      <c r="Q11" s="29">
        <f>+IFERROR(BK11+'[1]Master Sizer Inputs'!$T$29,"N/A")</f>
        <v>0.9</v>
      </c>
      <c r="R11" s="27">
        <f>+IFERROR(BL11+'[1]Master Sizer Inputs'!$T$29,"N/A")</f>
        <v>0.82500000000000007</v>
      </c>
      <c r="S11" s="28">
        <f>+IFERROR(BM11+'[1]Master Sizer Inputs'!$T$29,"N/A")</f>
        <v>0.8</v>
      </c>
      <c r="T11" s="29">
        <f>+IFERROR(BN11+'[1]Master Sizer Inputs'!$T$29,"N/A")</f>
        <v>0.875</v>
      </c>
      <c r="U11" s="27">
        <f>+IFERROR(BO11+'[1]Master Sizer Inputs'!$T$29,"N/A")</f>
        <v>0.77500000000000002</v>
      </c>
      <c r="V11" s="28">
        <f>+IFERROR(BP11+'[1]Master Sizer Inputs'!$T$29,"N/A")</f>
        <v>0.77500000000000002</v>
      </c>
      <c r="W11" s="29">
        <f>+IFERROR(BQ11+'[1]Master Sizer Inputs'!$T$29,"N/A")</f>
        <v>0.875</v>
      </c>
      <c r="X11" s="27">
        <f>+IFERROR(BR11+'[1]Master Sizer Inputs'!$T$29,"N/A")</f>
        <v>0.77500000000000002</v>
      </c>
      <c r="Y11" s="28">
        <f>+IFERROR(BS11+'[1]Master Sizer Inputs'!$T$29,"N/A")</f>
        <v>0.77500000000000002</v>
      </c>
      <c r="Z11" s="29">
        <f>+IFERROR(BT11+'[1]Master Sizer Inputs'!$T$29,"N/A")</f>
        <v>0.875</v>
      </c>
      <c r="AA11" s="27">
        <f>+IFERROR(BU11+'[1]Master Sizer Inputs'!$T$29,"N/A")</f>
        <v>0.72499999999999998</v>
      </c>
      <c r="AB11" s="27">
        <f>+IFERROR(BV11+'[1]Master Sizer Inputs'!$T$29,"N/A")</f>
        <v>0.72499999999999998</v>
      </c>
      <c r="AC11" s="29">
        <f>+IFERROR(BW11+'[1]Master Sizer Inputs'!$T$29,"N/A")</f>
        <v>0.79999999999999993</v>
      </c>
      <c r="AD11" s="30">
        <f t="shared" si="1"/>
        <v>0</v>
      </c>
      <c r="AE11" s="30">
        <v>7.4999999999999997E-3</v>
      </c>
      <c r="AF11" s="30">
        <f>+AF12+$AO$31</f>
        <v>8.9040000000000008E-2</v>
      </c>
      <c r="AG11" s="30">
        <f>$AO$26+(1*$AO$31)</f>
        <v>8.9040000000000008E-2</v>
      </c>
      <c r="AH11" s="30">
        <f t="shared" si="2"/>
        <v>8.9540000000000008E-2</v>
      </c>
      <c r="AI11" s="30">
        <f>$AO$26+(1*$AO$30)+(1*$AO$31)</f>
        <v>8.9540000000000008E-2</v>
      </c>
      <c r="AJ11" s="30">
        <f t="shared" si="3"/>
        <v>9.0040000000000009E-2</v>
      </c>
      <c r="AK11" s="197">
        <f>$AO$26+(2*$AO$30)+(1*$AO$31)</f>
        <v>9.0040000000000009E-2</v>
      </c>
      <c r="AN11" s="32">
        <v>1000</v>
      </c>
      <c r="AO11" s="32" t="s">
        <v>44</v>
      </c>
      <c r="AQ11" s="32">
        <v>0</v>
      </c>
      <c r="AR11" s="32">
        <v>1</v>
      </c>
      <c r="AV11" s="24" t="s">
        <v>43</v>
      </c>
      <c r="AW11" s="24" t="s">
        <v>44</v>
      </c>
      <c r="AX11" s="24">
        <v>7</v>
      </c>
      <c r="AY11" s="24">
        <v>700</v>
      </c>
      <c r="AZ11" s="24" t="str">
        <f t="shared" si="4"/>
        <v>FNFA7700</v>
      </c>
      <c r="BA11" s="24">
        <v>700</v>
      </c>
      <c r="BB11" s="24" t="str">
        <f t="shared" si="5"/>
        <v>FNFA7700</v>
      </c>
      <c r="BF11" s="27">
        <v>0.85</v>
      </c>
      <c r="BG11" s="28">
        <v>0.8</v>
      </c>
      <c r="BH11" s="29">
        <v>0.9</v>
      </c>
      <c r="BI11" s="27">
        <v>0.85</v>
      </c>
      <c r="BJ11" s="28">
        <v>0.8</v>
      </c>
      <c r="BK11" s="29">
        <v>0.9</v>
      </c>
      <c r="BL11" s="27">
        <v>0.82500000000000007</v>
      </c>
      <c r="BM11" s="28">
        <v>0.8</v>
      </c>
      <c r="BN11" s="29">
        <v>0.875</v>
      </c>
      <c r="BO11" s="27">
        <v>0.77500000000000002</v>
      </c>
      <c r="BP11" s="28">
        <v>0.77500000000000002</v>
      </c>
      <c r="BQ11" s="29">
        <v>0.875</v>
      </c>
      <c r="BR11" s="27">
        <v>0.77500000000000002</v>
      </c>
      <c r="BS11" s="28">
        <v>0.77500000000000002</v>
      </c>
      <c r="BT11" s="29">
        <v>0.875</v>
      </c>
      <c r="BU11" s="27">
        <v>0.72499999999999998</v>
      </c>
      <c r="BV11" s="28">
        <v>0.72499999999999998</v>
      </c>
      <c r="BW11" s="29">
        <v>0.79999999999999993</v>
      </c>
    </row>
    <row r="12" spans="3:75">
      <c r="C12" s="24" t="s">
        <v>43</v>
      </c>
      <c r="D12" s="24" t="s">
        <v>44</v>
      </c>
      <c r="E12" s="25">
        <v>7</v>
      </c>
      <c r="F12" s="25" t="str">
        <f t="shared" si="0"/>
        <v>FNFA7</v>
      </c>
      <c r="G12" s="25">
        <v>740</v>
      </c>
      <c r="H12" s="25" t="str">
        <f t="shared" si="6"/>
        <v>FNFA77402</v>
      </c>
      <c r="I12" s="25">
        <v>2</v>
      </c>
      <c r="J12" s="26">
        <v>1000000</v>
      </c>
      <c r="K12" s="26">
        <v>1999999</v>
      </c>
      <c r="L12" s="27">
        <f>+IFERROR(BF12+'[1]Master Sizer Inputs'!$T$29,"N/A")</f>
        <v>0.85000000000000009</v>
      </c>
      <c r="M12" s="28">
        <f>+IFERROR(BG12+'[1]Master Sizer Inputs'!$T$29,"N/A")</f>
        <v>0.8</v>
      </c>
      <c r="N12" s="29">
        <f>+IFERROR(BH12+'[1]Master Sizer Inputs'!$T$29,"N/A")</f>
        <v>0.9</v>
      </c>
      <c r="O12" s="27">
        <f>+IFERROR(BI12+'[1]Master Sizer Inputs'!$T$29,"N/A")</f>
        <v>0.85000000000000009</v>
      </c>
      <c r="P12" s="28">
        <f>+IFERROR(BJ12+'[1]Master Sizer Inputs'!$T$29,"N/A")</f>
        <v>0.8</v>
      </c>
      <c r="Q12" s="29">
        <f>+IFERROR(BK12+'[1]Master Sizer Inputs'!$T$29,"N/A")</f>
        <v>0.9</v>
      </c>
      <c r="R12" s="27">
        <f>+IFERROR(BL12+'[1]Master Sizer Inputs'!$T$29,"N/A")</f>
        <v>0.85000000000000009</v>
      </c>
      <c r="S12" s="28">
        <f>+IFERROR(BM12+'[1]Master Sizer Inputs'!$T$29,"N/A")</f>
        <v>0.8</v>
      </c>
      <c r="T12" s="29">
        <f>+IFERROR(BN12+'[1]Master Sizer Inputs'!$T$29,"N/A")</f>
        <v>0.875</v>
      </c>
      <c r="U12" s="27">
        <f>+IFERROR(BO12+'[1]Master Sizer Inputs'!$T$29,"N/A")</f>
        <v>0.8</v>
      </c>
      <c r="V12" s="28">
        <f>+IFERROR(BP12+'[1]Master Sizer Inputs'!$T$29,"N/A")</f>
        <v>0.8</v>
      </c>
      <c r="W12" s="29">
        <f>+IFERROR(BQ12+'[1]Master Sizer Inputs'!$T$29,"N/A")</f>
        <v>0.875</v>
      </c>
      <c r="X12" s="27">
        <f>+IFERROR(BR12+'[1]Master Sizer Inputs'!$T$29,"N/A")</f>
        <v>0.8</v>
      </c>
      <c r="Y12" s="28">
        <f>+IFERROR(BS12+'[1]Master Sizer Inputs'!$T$29,"N/A")</f>
        <v>0.8</v>
      </c>
      <c r="Z12" s="29">
        <f>+IFERROR(BT12+'[1]Master Sizer Inputs'!$T$29,"N/A")</f>
        <v>0.875</v>
      </c>
      <c r="AA12" s="27">
        <f>+IFERROR(BU12+'[1]Master Sizer Inputs'!$T$29,"N/A")</f>
        <v>0.75</v>
      </c>
      <c r="AB12" s="27">
        <f>+IFERROR(BV12+'[1]Master Sizer Inputs'!$T$29,"N/A")</f>
        <v>0.75</v>
      </c>
      <c r="AC12" s="29">
        <f>+IFERROR(BW12+'[1]Master Sizer Inputs'!$T$29,"N/A")</f>
        <v>0.79999999999999993</v>
      </c>
      <c r="AD12" s="30">
        <f t="shared" si="1"/>
        <v>0</v>
      </c>
      <c r="AE12" s="30">
        <v>7.4999999999999997E-3</v>
      </c>
      <c r="AF12" s="30">
        <f>+$AF$13</f>
        <v>8.6540000000000006E-2</v>
      </c>
      <c r="AG12" s="30">
        <f>$AO$26</f>
        <v>8.6540000000000006E-2</v>
      </c>
      <c r="AH12" s="30">
        <f t="shared" si="2"/>
        <v>8.7040000000000006E-2</v>
      </c>
      <c r="AI12" s="30">
        <f>$AO$26+(1*$AO$30)</f>
        <v>8.7040000000000006E-2</v>
      </c>
      <c r="AJ12" s="30">
        <f t="shared" si="3"/>
        <v>8.7540000000000007E-2</v>
      </c>
      <c r="AK12" s="197">
        <f>$AO$26+(2*$AO$30)</f>
        <v>8.7540000000000007E-2</v>
      </c>
      <c r="AN12" s="33">
        <v>10</v>
      </c>
      <c r="AO12" s="34" t="s">
        <v>44</v>
      </c>
      <c r="AQ12" s="32">
        <v>2</v>
      </c>
      <c r="AR12" s="32">
        <v>1</v>
      </c>
      <c r="AV12" s="24" t="s">
        <v>43</v>
      </c>
      <c r="AW12" s="24" t="s">
        <v>44</v>
      </c>
      <c r="AX12" s="24">
        <v>7</v>
      </c>
      <c r="AY12" s="24">
        <v>720</v>
      </c>
      <c r="AZ12" s="24" t="str">
        <f t="shared" si="4"/>
        <v>FNFA7720</v>
      </c>
      <c r="BA12" s="24">
        <v>720</v>
      </c>
      <c r="BB12" s="24" t="str">
        <f t="shared" si="5"/>
        <v>FNFA7720</v>
      </c>
      <c r="BF12" s="27">
        <v>0.85000000000000009</v>
      </c>
      <c r="BG12" s="28">
        <v>0.8</v>
      </c>
      <c r="BH12" s="29">
        <v>0.9</v>
      </c>
      <c r="BI12" s="27">
        <v>0.85000000000000009</v>
      </c>
      <c r="BJ12" s="28">
        <v>0.8</v>
      </c>
      <c r="BK12" s="29">
        <v>0.9</v>
      </c>
      <c r="BL12" s="27">
        <v>0.85000000000000009</v>
      </c>
      <c r="BM12" s="28">
        <v>0.8</v>
      </c>
      <c r="BN12" s="29">
        <v>0.875</v>
      </c>
      <c r="BO12" s="27">
        <v>0.8</v>
      </c>
      <c r="BP12" s="28">
        <v>0.8</v>
      </c>
      <c r="BQ12" s="29">
        <v>0.875</v>
      </c>
      <c r="BR12" s="27">
        <v>0.8</v>
      </c>
      <c r="BS12" s="28">
        <v>0.8</v>
      </c>
      <c r="BT12" s="29">
        <v>0.875</v>
      </c>
      <c r="BU12" s="27">
        <v>0.75</v>
      </c>
      <c r="BV12" s="28">
        <v>0.75</v>
      </c>
      <c r="BW12" s="29">
        <v>0.79999999999999993</v>
      </c>
    </row>
    <row r="13" spans="3:75" ht="18" customHeight="1" thickBot="1">
      <c r="C13" s="24" t="s">
        <v>43</v>
      </c>
      <c r="D13" s="24" t="s">
        <v>44</v>
      </c>
      <c r="E13" s="25">
        <v>7</v>
      </c>
      <c r="F13" s="25" t="str">
        <f t="shared" si="0"/>
        <v>FNFA7</v>
      </c>
      <c r="G13" s="25">
        <v>740</v>
      </c>
      <c r="H13" s="25" t="str">
        <f t="shared" si="6"/>
        <v>FNFA77401</v>
      </c>
      <c r="I13" s="25">
        <v>1</v>
      </c>
      <c r="J13" s="26">
        <v>150000</v>
      </c>
      <c r="K13" s="26">
        <v>999999</v>
      </c>
      <c r="L13" s="35">
        <f>+IFERROR(BF13+'[1]Master Sizer Inputs'!$T$29,"N/A")</f>
        <v>0.85000000000000009</v>
      </c>
      <c r="M13" s="36">
        <f>+IFERROR(BG13+'[1]Master Sizer Inputs'!$T$29,"N/A")</f>
        <v>0.8</v>
      </c>
      <c r="N13" s="37">
        <f>+IFERROR(BH13+'[1]Master Sizer Inputs'!$T$29,"N/A")</f>
        <v>0.9</v>
      </c>
      <c r="O13" s="35">
        <f>+IFERROR(BI13+'[1]Master Sizer Inputs'!$T$29,"N/A")</f>
        <v>0.85000000000000009</v>
      </c>
      <c r="P13" s="36">
        <f>+IFERROR(BJ13+'[1]Master Sizer Inputs'!$T$29,"N/A")</f>
        <v>0.8</v>
      </c>
      <c r="Q13" s="37">
        <f>+IFERROR(BK13+'[1]Master Sizer Inputs'!$T$29,"N/A")</f>
        <v>0.9</v>
      </c>
      <c r="R13" s="35">
        <f>+IFERROR(BL13+'[1]Master Sizer Inputs'!$T$29,"N/A")</f>
        <v>0.85000000000000009</v>
      </c>
      <c r="S13" s="36">
        <f>+IFERROR(BM13+'[1]Master Sizer Inputs'!$T$29,"N/A")</f>
        <v>0.8</v>
      </c>
      <c r="T13" s="37">
        <f>+IFERROR(BN13+'[1]Master Sizer Inputs'!$T$29,"N/A")</f>
        <v>0.875</v>
      </c>
      <c r="U13" s="35">
        <f>+IFERROR(BO13+'[1]Master Sizer Inputs'!$T$29,"N/A")</f>
        <v>0.8</v>
      </c>
      <c r="V13" s="36">
        <f>+IFERROR(BP13+'[1]Master Sizer Inputs'!$T$29,"N/A")</f>
        <v>0.8</v>
      </c>
      <c r="W13" s="37">
        <f>+IFERROR(BQ13+'[1]Master Sizer Inputs'!$T$29,"N/A")</f>
        <v>0.875</v>
      </c>
      <c r="X13" s="35">
        <f>+IFERROR(BR13+'[1]Master Sizer Inputs'!$T$29,"N/A")</f>
        <v>0.8</v>
      </c>
      <c r="Y13" s="36">
        <f>+IFERROR(BS13+'[1]Master Sizer Inputs'!$T$29,"N/A")</f>
        <v>0.8</v>
      </c>
      <c r="Z13" s="37">
        <f>+IFERROR(BT13+'[1]Master Sizer Inputs'!$T$29,"N/A")</f>
        <v>0.875</v>
      </c>
      <c r="AA13" s="35">
        <f>+IFERROR(BU13+'[1]Master Sizer Inputs'!$T$29,"N/A")</f>
        <v>0.75</v>
      </c>
      <c r="AB13" s="35">
        <f>+IFERROR(BV13+'[1]Master Sizer Inputs'!$T$29,"N/A")</f>
        <v>0.75</v>
      </c>
      <c r="AC13" s="37">
        <f>+IFERROR(BW13+'[1]Master Sizer Inputs'!$T$29,"N/A")</f>
        <v>0.79999999999999993</v>
      </c>
      <c r="AD13" s="30">
        <f t="shared" si="1"/>
        <v>0</v>
      </c>
      <c r="AE13" s="30">
        <v>7.4999999999999997E-3</v>
      </c>
      <c r="AF13" s="30">
        <f>+$AO$26</f>
        <v>8.6540000000000006E-2</v>
      </c>
      <c r="AG13" s="30">
        <f>$AO$26</f>
        <v>8.6540000000000006E-2</v>
      </c>
      <c r="AH13" s="30">
        <f t="shared" si="2"/>
        <v>8.7040000000000006E-2</v>
      </c>
      <c r="AI13" s="30">
        <f>$AO$26+(1*$AO$30)</f>
        <v>8.7040000000000006E-2</v>
      </c>
      <c r="AJ13" s="30">
        <f t="shared" si="3"/>
        <v>8.7540000000000007E-2</v>
      </c>
      <c r="AK13" s="197">
        <f>$AO$26+(2*$AO$30)</f>
        <v>8.7540000000000007E-2</v>
      </c>
      <c r="AN13" s="33">
        <v>9</v>
      </c>
      <c r="AO13" s="34" t="s">
        <v>44</v>
      </c>
      <c r="AQ13" s="32">
        <v>3</v>
      </c>
      <c r="AR13" s="32">
        <v>3</v>
      </c>
      <c r="AV13" s="24" t="s">
        <v>43</v>
      </c>
      <c r="AW13" s="24" t="s">
        <v>44</v>
      </c>
      <c r="AX13" s="24">
        <v>7</v>
      </c>
      <c r="AY13" s="24">
        <v>740</v>
      </c>
      <c r="AZ13" s="24" t="str">
        <f t="shared" si="4"/>
        <v>FNFA7740</v>
      </c>
      <c r="BA13" s="24">
        <v>740</v>
      </c>
      <c r="BB13" s="24" t="str">
        <f t="shared" si="5"/>
        <v>FNFA7740</v>
      </c>
      <c r="BF13" s="35">
        <v>0.85000000000000009</v>
      </c>
      <c r="BG13" s="36">
        <v>0.8</v>
      </c>
      <c r="BH13" s="37">
        <v>0.9</v>
      </c>
      <c r="BI13" s="35">
        <v>0.85000000000000009</v>
      </c>
      <c r="BJ13" s="36">
        <v>0.8</v>
      </c>
      <c r="BK13" s="37">
        <v>0.9</v>
      </c>
      <c r="BL13" s="35">
        <v>0.85000000000000009</v>
      </c>
      <c r="BM13" s="36">
        <v>0.8</v>
      </c>
      <c r="BN13" s="37">
        <v>0.875</v>
      </c>
      <c r="BO13" s="35">
        <v>0.8</v>
      </c>
      <c r="BP13" s="36">
        <v>0.8</v>
      </c>
      <c r="BQ13" s="37">
        <v>0.875</v>
      </c>
      <c r="BR13" s="35">
        <v>0.8</v>
      </c>
      <c r="BS13" s="36">
        <v>0.8</v>
      </c>
      <c r="BT13" s="37">
        <v>0.875</v>
      </c>
      <c r="BU13" s="35">
        <v>0.75</v>
      </c>
      <c r="BV13" s="36">
        <v>0.75</v>
      </c>
      <c r="BW13" s="37">
        <v>0.79999999999999993</v>
      </c>
    </row>
    <row r="14" spans="3:75">
      <c r="C14" s="110" t="s">
        <v>43</v>
      </c>
      <c r="D14" s="110" t="s">
        <v>44</v>
      </c>
      <c r="E14" s="111">
        <v>7</v>
      </c>
      <c r="F14" s="111" t="str">
        <f t="shared" si="0"/>
        <v>FNFA7</v>
      </c>
      <c r="G14" s="111">
        <v>720</v>
      </c>
      <c r="H14" s="111" t="str">
        <f t="shared" si="6"/>
        <v>FNFA77204</v>
      </c>
      <c r="I14" s="111">
        <v>4</v>
      </c>
      <c r="J14" s="112">
        <v>3500000</v>
      </c>
      <c r="K14" s="112">
        <v>4999999</v>
      </c>
      <c r="L14" s="113">
        <f>+IFERROR(BF14+'[1]Master Sizer Inputs'!$T$29,"N/A")</f>
        <v>0.82500000000000007</v>
      </c>
      <c r="M14" s="114">
        <f>+IFERROR(BG14+'[1]Master Sizer Inputs'!$T$29,"N/A")</f>
        <v>0.75</v>
      </c>
      <c r="N14" s="115">
        <f>+IFERROR(BH14+'[1]Master Sizer Inputs'!$T$29,"N/A")</f>
        <v>0.85</v>
      </c>
      <c r="O14" s="113">
        <f>+IFERROR(BI14+'[1]Master Sizer Inputs'!$T$29,"N/A")</f>
        <v>0.82500000000000007</v>
      </c>
      <c r="P14" s="114">
        <f>+IFERROR(BJ14+'[1]Master Sizer Inputs'!$T$29,"N/A")</f>
        <v>0.75</v>
      </c>
      <c r="Q14" s="115">
        <f>+IFERROR(BK14+'[1]Master Sizer Inputs'!$T$29,"N/A")</f>
        <v>0.85</v>
      </c>
      <c r="R14" s="113">
        <f>+IFERROR(BL14+'[1]Master Sizer Inputs'!$T$29,"N/A")</f>
        <v>0.82500000000000007</v>
      </c>
      <c r="S14" s="114">
        <f>+IFERROR(BM14+'[1]Master Sizer Inputs'!$T$29,"N/A")</f>
        <v>0.75</v>
      </c>
      <c r="T14" s="115">
        <f>+IFERROR(BN14+'[1]Master Sizer Inputs'!$T$29,"N/A")</f>
        <v>0.85</v>
      </c>
      <c r="U14" s="113">
        <f>+IFERROR(BO14+'[1]Master Sizer Inputs'!$T$29,"N/A")</f>
        <v>0.75</v>
      </c>
      <c r="V14" s="114">
        <f>+IFERROR(BP14+'[1]Master Sizer Inputs'!$T$29,"N/A")</f>
        <v>0.75</v>
      </c>
      <c r="W14" s="115">
        <f>+IFERROR(BQ14+'[1]Master Sizer Inputs'!$T$29,"N/A")</f>
        <v>0.85</v>
      </c>
      <c r="X14" s="113">
        <f>+IFERROR(BR14+'[1]Master Sizer Inputs'!$T$29,"N/A")</f>
        <v>0.75</v>
      </c>
      <c r="Y14" s="114">
        <f>+IFERROR(BS14+'[1]Master Sizer Inputs'!$T$29,"N/A")</f>
        <v>0.75</v>
      </c>
      <c r="Z14" s="115">
        <f>+IFERROR(BT14+'[1]Master Sizer Inputs'!$T$29,"N/A")</f>
        <v>0.85</v>
      </c>
      <c r="AA14" s="113">
        <f>+IFERROR(BU14+'[1]Master Sizer Inputs'!$T$29,"N/A")</f>
        <v>0.72499999999999998</v>
      </c>
      <c r="AB14" s="113">
        <f>+IFERROR(BV14+'[1]Master Sizer Inputs'!$T$29,"N/A")</f>
        <v>0.7</v>
      </c>
      <c r="AC14" s="115">
        <f>+IFERROR(BW14+'[1]Master Sizer Inputs'!$T$29,"N/A")</f>
        <v>0.77499999999999991</v>
      </c>
      <c r="AD14" s="116">
        <f t="shared" si="1"/>
        <v>0</v>
      </c>
      <c r="AE14" s="116">
        <v>7.4999999999999997E-3</v>
      </c>
      <c r="AF14" s="116">
        <f t="shared" ref="AF14:AF65" si="7">+AF10+$AO$32</f>
        <v>9.2790000000000011E-2</v>
      </c>
      <c r="AG14" s="116">
        <f>$AO$26+(2*$AO$31)+(1*$AO$32)</f>
        <v>9.2790000000000011E-2</v>
      </c>
      <c r="AH14" s="116">
        <f t="shared" si="2"/>
        <v>9.3290000000000012E-2</v>
      </c>
      <c r="AI14" s="116">
        <f>$AO$26+(1*$AO$32)+(1*$AO$30)+(2*$AO$31)</f>
        <v>9.3290000000000012E-2</v>
      </c>
      <c r="AJ14" s="116">
        <f t="shared" si="3"/>
        <v>9.3790000000000012E-2</v>
      </c>
      <c r="AK14" s="116">
        <f>$AO$26+(1*$AO$32)+(2*$AO$30)+(2*$AO$31)</f>
        <v>9.3790000000000012E-2</v>
      </c>
      <c r="AN14" s="34">
        <v>8</v>
      </c>
      <c r="AO14" s="34" t="s">
        <v>44</v>
      </c>
      <c r="AQ14" s="32">
        <v>5</v>
      </c>
      <c r="AR14" s="32">
        <v>5</v>
      </c>
      <c r="AV14" s="42" t="s">
        <v>43</v>
      </c>
      <c r="AW14" s="42" t="s">
        <v>47</v>
      </c>
      <c r="AX14" s="42">
        <v>5</v>
      </c>
      <c r="AY14" s="42">
        <v>680</v>
      </c>
      <c r="AZ14" s="42" t="str">
        <f t="shared" si="4"/>
        <v>FNFB5680</v>
      </c>
      <c r="BA14" s="42">
        <v>680</v>
      </c>
      <c r="BB14" s="42" t="str">
        <f t="shared" si="5"/>
        <v>FNFB5680</v>
      </c>
      <c r="BF14" s="39">
        <v>0.82500000000000007</v>
      </c>
      <c r="BG14" s="40">
        <v>0.75</v>
      </c>
      <c r="BH14" s="41">
        <v>0.85</v>
      </c>
      <c r="BI14" s="39">
        <v>0.82500000000000007</v>
      </c>
      <c r="BJ14" s="40">
        <v>0.75</v>
      </c>
      <c r="BK14" s="41">
        <v>0.85</v>
      </c>
      <c r="BL14" s="39">
        <v>0.82500000000000007</v>
      </c>
      <c r="BM14" s="40">
        <v>0.75</v>
      </c>
      <c r="BN14" s="41">
        <v>0.85</v>
      </c>
      <c r="BO14" s="39">
        <v>0.75</v>
      </c>
      <c r="BP14" s="40">
        <v>0.75</v>
      </c>
      <c r="BQ14" s="41">
        <v>0.85</v>
      </c>
      <c r="BR14" s="39">
        <v>0.75</v>
      </c>
      <c r="BS14" s="40">
        <v>0.75</v>
      </c>
      <c r="BT14" s="41">
        <v>0.85</v>
      </c>
      <c r="BU14" s="39">
        <v>0.72499999999999998</v>
      </c>
      <c r="BV14" s="40">
        <v>0.7</v>
      </c>
      <c r="BW14" s="41">
        <v>0.77499999999999991</v>
      </c>
    </row>
    <row r="15" spans="3:75">
      <c r="C15" s="110" t="s">
        <v>43</v>
      </c>
      <c r="D15" s="110" t="s">
        <v>44</v>
      </c>
      <c r="E15" s="111">
        <v>7</v>
      </c>
      <c r="F15" s="111" t="str">
        <f t="shared" si="0"/>
        <v>FNFA7</v>
      </c>
      <c r="G15" s="111">
        <v>720</v>
      </c>
      <c r="H15" s="111" t="str">
        <f t="shared" si="6"/>
        <v>FNFA77203</v>
      </c>
      <c r="I15" s="111">
        <v>3</v>
      </c>
      <c r="J15" s="112">
        <v>2000000</v>
      </c>
      <c r="K15" s="112">
        <v>3499999</v>
      </c>
      <c r="L15" s="113">
        <f>+IFERROR(BF15+'[1]Master Sizer Inputs'!$T$29,"N/A")</f>
        <v>0.85</v>
      </c>
      <c r="M15" s="114">
        <f>+IFERROR(BG15+'[1]Master Sizer Inputs'!$T$29,"N/A")</f>
        <v>0.77500000000000002</v>
      </c>
      <c r="N15" s="115">
        <f>+IFERROR(BH15+'[1]Master Sizer Inputs'!$T$29,"N/A")</f>
        <v>0.9</v>
      </c>
      <c r="O15" s="113">
        <f>+IFERROR(BI15+'[1]Master Sizer Inputs'!$T$29,"N/A")</f>
        <v>0.85</v>
      </c>
      <c r="P15" s="114">
        <f>+IFERROR(BJ15+'[1]Master Sizer Inputs'!$T$29,"N/A")</f>
        <v>0.77500000000000002</v>
      </c>
      <c r="Q15" s="115">
        <f>+IFERROR(BK15+'[1]Master Sizer Inputs'!$T$29,"N/A")</f>
        <v>0.9</v>
      </c>
      <c r="R15" s="113">
        <f>+IFERROR(BL15+'[1]Master Sizer Inputs'!$T$29,"N/A")</f>
        <v>0.82500000000000007</v>
      </c>
      <c r="S15" s="114">
        <f>+IFERROR(BM15+'[1]Master Sizer Inputs'!$T$29,"N/A")</f>
        <v>0.77500000000000002</v>
      </c>
      <c r="T15" s="115">
        <f>+IFERROR(BN15+'[1]Master Sizer Inputs'!$T$29,"N/A")</f>
        <v>0.875</v>
      </c>
      <c r="U15" s="113">
        <f>+IFERROR(BO15+'[1]Master Sizer Inputs'!$T$29,"N/A")</f>
        <v>0.77500000000000002</v>
      </c>
      <c r="V15" s="114">
        <f>+IFERROR(BP15+'[1]Master Sizer Inputs'!$T$29,"N/A")</f>
        <v>0.77500000000000002</v>
      </c>
      <c r="W15" s="115">
        <f>+IFERROR(BQ15+'[1]Master Sizer Inputs'!$T$29,"N/A")</f>
        <v>0.875</v>
      </c>
      <c r="X15" s="113">
        <f>+IFERROR(BR15+'[1]Master Sizer Inputs'!$T$29,"N/A")</f>
        <v>0.77500000000000002</v>
      </c>
      <c r="Y15" s="114">
        <f>+IFERROR(BS15+'[1]Master Sizer Inputs'!$T$29,"N/A")</f>
        <v>0.77500000000000002</v>
      </c>
      <c r="Z15" s="115">
        <f>+IFERROR(BT15+'[1]Master Sizer Inputs'!$T$29,"N/A")</f>
        <v>0.875</v>
      </c>
      <c r="AA15" s="113">
        <f>+IFERROR(BU15+'[1]Master Sizer Inputs'!$T$29,"N/A")</f>
        <v>0.72499999999999998</v>
      </c>
      <c r="AB15" s="113">
        <f>+IFERROR(BV15+'[1]Master Sizer Inputs'!$T$29,"N/A")</f>
        <v>0.72499999999999998</v>
      </c>
      <c r="AC15" s="115">
        <f>+IFERROR(BW15+'[1]Master Sizer Inputs'!$T$29,"N/A")</f>
        <v>0.79999999999999993</v>
      </c>
      <c r="AD15" s="116">
        <f t="shared" si="1"/>
        <v>0</v>
      </c>
      <c r="AE15" s="116">
        <v>7.4999999999999997E-3</v>
      </c>
      <c r="AF15" s="116">
        <f t="shared" si="7"/>
        <v>9.0290000000000009E-2</v>
      </c>
      <c r="AG15" s="116">
        <f>$AO$26+(1*$AO$31)+(1*$AO$32)</f>
        <v>9.0290000000000009E-2</v>
      </c>
      <c r="AH15" s="116">
        <f t="shared" si="2"/>
        <v>9.079000000000001E-2</v>
      </c>
      <c r="AI15" s="116">
        <f>$AO$26+(1*$AO$32)+(1*$AO$30)+(1*$AO$31)</f>
        <v>9.079000000000001E-2</v>
      </c>
      <c r="AJ15" s="116">
        <f t="shared" si="3"/>
        <v>9.129000000000001E-2</v>
      </c>
      <c r="AK15" s="116">
        <f>$AO$26+(1*$AO$32)+(2*$AO$30)+(1*$AO$31)</f>
        <v>9.129000000000001E-2</v>
      </c>
      <c r="AN15" s="33">
        <v>7</v>
      </c>
      <c r="AO15" s="34" t="s">
        <v>44</v>
      </c>
      <c r="AQ15" s="34">
        <v>7</v>
      </c>
      <c r="AR15" s="34">
        <v>7</v>
      </c>
      <c r="AV15" s="42" t="s">
        <v>43</v>
      </c>
      <c r="AW15" s="42" t="s">
        <v>47</v>
      </c>
      <c r="AX15" s="42">
        <v>5</v>
      </c>
      <c r="AY15" s="42">
        <v>700</v>
      </c>
      <c r="AZ15" s="42" t="str">
        <f t="shared" si="4"/>
        <v>FNFB5700</v>
      </c>
      <c r="BA15" s="42">
        <v>700</v>
      </c>
      <c r="BB15" s="42" t="str">
        <f t="shared" si="5"/>
        <v>FNFB5700</v>
      </c>
      <c r="BF15" s="39">
        <v>0.85</v>
      </c>
      <c r="BG15" s="40">
        <v>0.77500000000000002</v>
      </c>
      <c r="BH15" s="41">
        <v>0.9</v>
      </c>
      <c r="BI15" s="39">
        <v>0.85</v>
      </c>
      <c r="BJ15" s="40">
        <v>0.77500000000000002</v>
      </c>
      <c r="BK15" s="41">
        <v>0.9</v>
      </c>
      <c r="BL15" s="39">
        <v>0.82500000000000007</v>
      </c>
      <c r="BM15" s="40">
        <v>0.77500000000000002</v>
      </c>
      <c r="BN15" s="41">
        <v>0.875</v>
      </c>
      <c r="BO15" s="39">
        <v>0.77500000000000002</v>
      </c>
      <c r="BP15" s="40">
        <v>0.77500000000000002</v>
      </c>
      <c r="BQ15" s="41">
        <v>0.875</v>
      </c>
      <c r="BR15" s="39">
        <v>0.77500000000000002</v>
      </c>
      <c r="BS15" s="40">
        <v>0.77500000000000002</v>
      </c>
      <c r="BT15" s="41">
        <v>0.875</v>
      </c>
      <c r="BU15" s="39">
        <v>0.72499999999999998</v>
      </c>
      <c r="BV15" s="40">
        <v>0.72499999999999998</v>
      </c>
      <c r="BW15" s="41">
        <v>0.79999999999999993</v>
      </c>
    </row>
    <row r="16" spans="3:75">
      <c r="C16" s="110" t="s">
        <v>43</v>
      </c>
      <c r="D16" s="110" t="s">
        <v>44</v>
      </c>
      <c r="E16" s="111">
        <v>7</v>
      </c>
      <c r="F16" s="111" t="str">
        <f t="shared" si="0"/>
        <v>FNFA7</v>
      </c>
      <c r="G16" s="111">
        <v>720</v>
      </c>
      <c r="H16" s="111" t="str">
        <f t="shared" si="6"/>
        <v>FNFA77202</v>
      </c>
      <c r="I16" s="111">
        <v>2</v>
      </c>
      <c r="J16" s="112">
        <v>1000000</v>
      </c>
      <c r="K16" s="112">
        <v>1999999</v>
      </c>
      <c r="L16" s="113">
        <f>+IFERROR(BF16+'[1]Master Sizer Inputs'!$T$29,"N/A")</f>
        <v>0.85000000000000009</v>
      </c>
      <c r="M16" s="114">
        <f>+IFERROR(BG16+'[1]Master Sizer Inputs'!$T$29,"N/A")</f>
        <v>0.77500000000000002</v>
      </c>
      <c r="N16" s="115">
        <f>+IFERROR(BH16+'[1]Master Sizer Inputs'!$T$29,"N/A")</f>
        <v>0.9</v>
      </c>
      <c r="O16" s="113">
        <f>+IFERROR(BI16+'[1]Master Sizer Inputs'!$T$29,"N/A")</f>
        <v>0.85000000000000009</v>
      </c>
      <c r="P16" s="114">
        <f>+IFERROR(BJ16+'[1]Master Sizer Inputs'!$T$29,"N/A")</f>
        <v>0.77500000000000002</v>
      </c>
      <c r="Q16" s="115">
        <f>+IFERROR(BK16+'[1]Master Sizer Inputs'!$T$29,"N/A")</f>
        <v>0.9</v>
      </c>
      <c r="R16" s="113">
        <f>+IFERROR(BL16+'[1]Master Sizer Inputs'!$T$29,"N/A")</f>
        <v>0.85000000000000009</v>
      </c>
      <c r="S16" s="114">
        <f>+IFERROR(BM16+'[1]Master Sizer Inputs'!$T$29,"N/A")</f>
        <v>0.77500000000000002</v>
      </c>
      <c r="T16" s="115">
        <f>+IFERROR(BN16+'[1]Master Sizer Inputs'!$T$29,"N/A")</f>
        <v>0.875</v>
      </c>
      <c r="U16" s="113">
        <f>+IFERROR(BO16+'[1]Master Sizer Inputs'!$T$29,"N/A")</f>
        <v>0.8</v>
      </c>
      <c r="V16" s="114">
        <f>+IFERROR(BP16+'[1]Master Sizer Inputs'!$T$29,"N/A")</f>
        <v>0.8</v>
      </c>
      <c r="W16" s="115">
        <f>+IFERROR(BQ16+'[1]Master Sizer Inputs'!$T$29,"N/A")</f>
        <v>0.875</v>
      </c>
      <c r="X16" s="113">
        <f>+IFERROR(BR16+'[1]Master Sizer Inputs'!$T$29,"N/A")</f>
        <v>0.8</v>
      </c>
      <c r="Y16" s="114">
        <f>+IFERROR(BS16+'[1]Master Sizer Inputs'!$T$29,"N/A")</f>
        <v>0.8</v>
      </c>
      <c r="Z16" s="115">
        <f>+IFERROR(BT16+'[1]Master Sizer Inputs'!$T$29,"N/A")</f>
        <v>0.875</v>
      </c>
      <c r="AA16" s="113">
        <f>+IFERROR(BU16+'[1]Master Sizer Inputs'!$T$29,"N/A")</f>
        <v>0.75</v>
      </c>
      <c r="AB16" s="113">
        <f>+IFERROR(BV16+'[1]Master Sizer Inputs'!$T$29,"N/A")</f>
        <v>0.72499999999999998</v>
      </c>
      <c r="AC16" s="115">
        <f>+IFERROR(BW16+'[1]Master Sizer Inputs'!$T$29,"N/A")</f>
        <v>0.79999999999999993</v>
      </c>
      <c r="AD16" s="116">
        <f t="shared" si="1"/>
        <v>0</v>
      </c>
      <c r="AE16" s="116">
        <v>7.4999999999999997E-3</v>
      </c>
      <c r="AF16" s="116">
        <f t="shared" si="7"/>
        <v>8.7790000000000007E-2</v>
      </c>
      <c r="AG16" s="116">
        <f>$AO$26+(1*$AO$32)</f>
        <v>8.7790000000000007E-2</v>
      </c>
      <c r="AH16" s="116">
        <f t="shared" si="2"/>
        <v>8.8290000000000007E-2</v>
      </c>
      <c r="AI16" s="116">
        <f>$AO$26+(1*$AO$32)+(1*$AO$30)</f>
        <v>8.8290000000000007E-2</v>
      </c>
      <c r="AJ16" s="116">
        <f t="shared" si="3"/>
        <v>8.8790000000000008E-2</v>
      </c>
      <c r="AK16" s="116">
        <f>$AO$26+(1*$AO$32)+(2*$AO$30)</f>
        <v>8.8790000000000008E-2</v>
      </c>
      <c r="AL16" s="201"/>
      <c r="AN16" s="33">
        <v>6</v>
      </c>
      <c r="AO16" s="34" t="s">
        <v>47</v>
      </c>
      <c r="AQ16" s="34">
        <v>1000</v>
      </c>
      <c r="AR16" s="34">
        <v>7</v>
      </c>
      <c r="AV16" s="42" t="s">
        <v>43</v>
      </c>
      <c r="AW16" s="42" t="s">
        <v>47</v>
      </c>
      <c r="AX16" s="42">
        <v>5</v>
      </c>
      <c r="AY16" s="42">
        <v>720</v>
      </c>
      <c r="AZ16" s="42" t="str">
        <f t="shared" si="4"/>
        <v>FNFB5720</v>
      </c>
      <c r="BA16" s="42">
        <v>720</v>
      </c>
      <c r="BB16" s="42" t="str">
        <f t="shared" si="5"/>
        <v>FNFB5720</v>
      </c>
      <c r="BF16" s="39">
        <v>0.85000000000000009</v>
      </c>
      <c r="BG16" s="40">
        <v>0.77500000000000002</v>
      </c>
      <c r="BH16" s="41">
        <v>0.9</v>
      </c>
      <c r="BI16" s="39">
        <v>0.85000000000000009</v>
      </c>
      <c r="BJ16" s="40">
        <v>0.77500000000000002</v>
      </c>
      <c r="BK16" s="41">
        <v>0.9</v>
      </c>
      <c r="BL16" s="39">
        <v>0.85000000000000009</v>
      </c>
      <c r="BM16" s="40">
        <v>0.77500000000000002</v>
      </c>
      <c r="BN16" s="41">
        <v>0.875</v>
      </c>
      <c r="BO16" s="39">
        <v>0.8</v>
      </c>
      <c r="BP16" s="40">
        <v>0.8</v>
      </c>
      <c r="BQ16" s="41">
        <v>0.875</v>
      </c>
      <c r="BR16" s="39">
        <v>0.8</v>
      </c>
      <c r="BS16" s="40">
        <v>0.8</v>
      </c>
      <c r="BT16" s="41">
        <v>0.875</v>
      </c>
      <c r="BU16" s="39">
        <v>0.75</v>
      </c>
      <c r="BV16" s="40">
        <v>0.72499999999999998</v>
      </c>
      <c r="BW16" s="41">
        <v>0.79999999999999993</v>
      </c>
    </row>
    <row r="17" spans="3:78" ht="16.5" thickBot="1">
      <c r="C17" s="110" t="s">
        <v>43</v>
      </c>
      <c r="D17" s="110" t="s">
        <v>44</v>
      </c>
      <c r="E17" s="111">
        <v>7</v>
      </c>
      <c r="F17" s="111" t="str">
        <f t="shared" si="0"/>
        <v>FNFA7</v>
      </c>
      <c r="G17" s="111">
        <v>720</v>
      </c>
      <c r="H17" s="111" t="str">
        <f t="shared" si="6"/>
        <v>FNFA77201</v>
      </c>
      <c r="I17" s="111">
        <v>1</v>
      </c>
      <c r="J17" s="112">
        <v>150000</v>
      </c>
      <c r="K17" s="112">
        <v>999999</v>
      </c>
      <c r="L17" s="117">
        <f>+IFERROR(BF17+'[1]Master Sizer Inputs'!$T$29,"N/A")</f>
        <v>0.85000000000000009</v>
      </c>
      <c r="M17" s="118">
        <f>+IFERROR(BG17+'[1]Master Sizer Inputs'!$T$29,"N/A")</f>
        <v>0.8</v>
      </c>
      <c r="N17" s="119">
        <f>+IFERROR(BH17+'[1]Master Sizer Inputs'!$T$29,"N/A")</f>
        <v>0.9</v>
      </c>
      <c r="O17" s="117">
        <f>+IFERROR(BI17+'[1]Master Sizer Inputs'!$T$29,"N/A")</f>
        <v>0.85000000000000009</v>
      </c>
      <c r="P17" s="118">
        <f>+IFERROR(BJ17+'[1]Master Sizer Inputs'!$T$29,"N/A")</f>
        <v>0.8</v>
      </c>
      <c r="Q17" s="119">
        <f>+IFERROR(BK17+'[1]Master Sizer Inputs'!$T$29,"N/A")</f>
        <v>0.9</v>
      </c>
      <c r="R17" s="117">
        <f>+IFERROR(BL17+'[1]Master Sizer Inputs'!$T$29,"N/A")</f>
        <v>0.85000000000000009</v>
      </c>
      <c r="S17" s="118">
        <f>+IFERROR(BM17+'[1]Master Sizer Inputs'!$T$29,"N/A")</f>
        <v>0.8</v>
      </c>
      <c r="T17" s="119">
        <f>+IFERROR(BN17+'[1]Master Sizer Inputs'!$T$29,"N/A")</f>
        <v>0.875</v>
      </c>
      <c r="U17" s="117">
        <f>+IFERROR(BO17+'[1]Master Sizer Inputs'!$T$29,"N/A")</f>
        <v>0.8</v>
      </c>
      <c r="V17" s="118">
        <f>+IFERROR(BP17+'[1]Master Sizer Inputs'!$T$29,"N/A")</f>
        <v>0.8</v>
      </c>
      <c r="W17" s="119">
        <f>+IFERROR(BQ17+'[1]Master Sizer Inputs'!$T$29,"N/A")</f>
        <v>0.875</v>
      </c>
      <c r="X17" s="117">
        <f>+IFERROR(BR17+'[1]Master Sizer Inputs'!$T$29,"N/A")</f>
        <v>0.8</v>
      </c>
      <c r="Y17" s="118">
        <f>+IFERROR(BS17+'[1]Master Sizer Inputs'!$T$29,"N/A")</f>
        <v>0.8</v>
      </c>
      <c r="Z17" s="119">
        <f>+IFERROR(BT17+'[1]Master Sizer Inputs'!$T$29,"N/A")</f>
        <v>0.875</v>
      </c>
      <c r="AA17" s="117">
        <f>+IFERROR(BU17+'[1]Master Sizer Inputs'!$T$29,"N/A")</f>
        <v>0.75</v>
      </c>
      <c r="AB17" s="117">
        <f>+IFERROR(BV17+'[1]Master Sizer Inputs'!$T$29,"N/A")</f>
        <v>0.75</v>
      </c>
      <c r="AC17" s="119">
        <f>+IFERROR(BW17+'[1]Master Sizer Inputs'!$T$29,"N/A")</f>
        <v>0.79999999999999993</v>
      </c>
      <c r="AD17" s="116">
        <f t="shared" si="1"/>
        <v>0</v>
      </c>
      <c r="AE17" s="116">
        <v>7.4999999999999997E-3</v>
      </c>
      <c r="AF17" s="116">
        <f>+AF13+$AO$32</f>
        <v>8.7790000000000007E-2</v>
      </c>
      <c r="AG17" s="116">
        <f>$AO$26+(1*$AO$32)</f>
        <v>8.7790000000000007E-2</v>
      </c>
      <c r="AH17" s="116">
        <f t="shared" si="2"/>
        <v>8.8290000000000007E-2</v>
      </c>
      <c r="AI17" s="116">
        <f>$AO$26+(1*$AO$32)+(1*$AO$30)</f>
        <v>8.8290000000000007E-2</v>
      </c>
      <c r="AJ17" s="116">
        <f t="shared" si="3"/>
        <v>8.8790000000000008E-2</v>
      </c>
      <c r="AK17" s="116">
        <f>$AO$26+(1*$AO$32)+(2*$AO$30)</f>
        <v>8.8790000000000008E-2</v>
      </c>
      <c r="AL17" s="201"/>
      <c r="AN17" s="34">
        <v>5</v>
      </c>
      <c r="AO17" s="34" t="s">
        <v>47</v>
      </c>
      <c r="AQ17" s="34"/>
      <c r="AR17" s="34"/>
      <c r="AV17" s="42" t="s">
        <v>43</v>
      </c>
      <c r="AW17" s="42" t="s">
        <v>47</v>
      </c>
      <c r="AX17" s="42">
        <v>5</v>
      </c>
      <c r="AY17" s="42">
        <v>740</v>
      </c>
      <c r="AZ17" s="42" t="str">
        <f t="shared" si="4"/>
        <v>FNFB5740</v>
      </c>
      <c r="BA17" s="42">
        <v>740</v>
      </c>
      <c r="BB17" s="42" t="str">
        <f t="shared" si="5"/>
        <v>FNFB5740</v>
      </c>
      <c r="BF17" s="43">
        <v>0.85000000000000009</v>
      </c>
      <c r="BG17" s="44">
        <v>0.8</v>
      </c>
      <c r="BH17" s="45">
        <v>0.9</v>
      </c>
      <c r="BI17" s="43">
        <v>0.85000000000000009</v>
      </c>
      <c r="BJ17" s="44">
        <v>0.8</v>
      </c>
      <c r="BK17" s="45">
        <v>0.9</v>
      </c>
      <c r="BL17" s="43">
        <v>0.85000000000000009</v>
      </c>
      <c r="BM17" s="44">
        <v>0.8</v>
      </c>
      <c r="BN17" s="45">
        <v>0.875</v>
      </c>
      <c r="BO17" s="43">
        <v>0.8</v>
      </c>
      <c r="BP17" s="44">
        <v>0.8</v>
      </c>
      <c r="BQ17" s="45">
        <v>0.875</v>
      </c>
      <c r="BR17" s="43">
        <v>0.8</v>
      </c>
      <c r="BS17" s="44">
        <v>0.8</v>
      </c>
      <c r="BT17" s="45">
        <v>0.875</v>
      </c>
      <c r="BU17" s="43">
        <v>0.75</v>
      </c>
      <c r="BV17" s="44">
        <v>0.75</v>
      </c>
      <c r="BW17" s="45">
        <v>0.79999999999999993</v>
      </c>
    </row>
    <row r="18" spans="3:78">
      <c r="C18" s="46" t="s">
        <v>43</v>
      </c>
      <c r="D18" s="46" t="s">
        <v>44</v>
      </c>
      <c r="E18" s="47">
        <v>7</v>
      </c>
      <c r="F18" s="47" t="str">
        <f t="shared" si="0"/>
        <v>FNFA7</v>
      </c>
      <c r="G18" s="47">
        <v>700</v>
      </c>
      <c r="H18" s="47" t="str">
        <f t="shared" si="6"/>
        <v>FNFA77004</v>
      </c>
      <c r="I18" s="47">
        <v>4</v>
      </c>
      <c r="J18" s="48">
        <v>3500000</v>
      </c>
      <c r="K18" s="48">
        <v>4999999</v>
      </c>
      <c r="L18" s="49">
        <f>+IFERROR(BF18+'[1]Master Sizer Inputs'!$T$29,"N/A")</f>
        <v>0.8</v>
      </c>
      <c r="M18" s="50">
        <f>+IFERROR(BG18+'[1]Master Sizer Inputs'!$T$29,"N/A")</f>
        <v>0.72499999999999998</v>
      </c>
      <c r="N18" s="51">
        <f>+IFERROR(BH18+'[1]Master Sizer Inputs'!$T$29,"N/A")</f>
        <v>0.82499999999999996</v>
      </c>
      <c r="O18" s="49">
        <f>+IFERROR(BI18+'[1]Master Sizer Inputs'!$T$29,"N/A")</f>
        <v>0.8</v>
      </c>
      <c r="P18" s="50">
        <f>+IFERROR(BJ18+'[1]Master Sizer Inputs'!$T$29,"N/A")</f>
        <v>0.72499999999999998</v>
      </c>
      <c r="Q18" s="51">
        <f>+IFERROR(BK18+'[1]Master Sizer Inputs'!$T$29,"N/A")</f>
        <v>0.82499999999999996</v>
      </c>
      <c r="R18" s="49">
        <f>+IFERROR(BL18+'[1]Master Sizer Inputs'!$T$29,"N/A")</f>
        <v>0.8</v>
      </c>
      <c r="S18" s="50">
        <f>+IFERROR(BM18+'[1]Master Sizer Inputs'!$T$29,"N/A")</f>
        <v>0.72499999999999998</v>
      </c>
      <c r="T18" s="51">
        <f>+IFERROR(BN18+'[1]Master Sizer Inputs'!$T$29,"N/A")</f>
        <v>0.82499999999999996</v>
      </c>
      <c r="U18" s="49">
        <f>+IFERROR(BO18+'[1]Master Sizer Inputs'!$T$29,"N/A")</f>
        <v>0.72499999999999998</v>
      </c>
      <c r="V18" s="50">
        <f>+IFERROR(BP18+'[1]Master Sizer Inputs'!$T$29,"N/A")</f>
        <v>0.72499999999999998</v>
      </c>
      <c r="W18" s="51">
        <f>+IFERROR(BQ18+'[1]Master Sizer Inputs'!$T$29,"N/A")</f>
        <v>0.82499999999999996</v>
      </c>
      <c r="X18" s="49">
        <f>+IFERROR(BR18+'[1]Master Sizer Inputs'!$T$29,"N/A")</f>
        <v>0.72499999999999998</v>
      </c>
      <c r="Y18" s="50">
        <f>+IFERROR(BS18+'[1]Master Sizer Inputs'!$T$29,"N/A")</f>
        <v>0.72499999999999998</v>
      </c>
      <c r="Z18" s="51">
        <f>+IFERROR(BT18+'[1]Master Sizer Inputs'!$T$29,"N/A")</f>
        <v>0.82499999999999996</v>
      </c>
      <c r="AA18" s="49">
        <f>+IFERROR(BU18+'[1]Master Sizer Inputs'!$T$29,"N/A")</f>
        <v>0.7</v>
      </c>
      <c r="AB18" s="49">
        <f>+IFERROR(BV18+'[1]Master Sizer Inputs'!$T$29,"N/A")</f>
        <v>0.67499999999999993</v>
      </c>
      <c r="AC18" s="51">
        <f>+IFERROR(BW18+'[1]Master Sizer Inputs'!$T$29,"N/A")</f>
        <v>0.74999999999999989</v>
      </c>
      <c r="AD18" s="52">
        <f t="shared" si="1"/>
        <v>0</v>
      </c>
      <c r="AE18" s="52">
        <v>7.4999999999999997E-3</v>
      </c>
      <c r="AF18" s="52">
        <f t="shared" si="7"/>
        <v>9.4040000000000012E-2</v>
      </c>
      <c r="AG18" s="52">
        <f>$AO$26+(2*$AO$32)+(2*$AO$31)</f>
        <v>9.4040000000000012E-2</v>
      </c>
      <c r="AH18" s="52">
        <f t="shared" si="2"/>
        <v>9.4540000000000013E-2</v>
      </c>
      <c r="AI18" s="52">
        <f>$AO$26+(2*$AO$32)+(1*$AO$30)+(2*$AO$31)</f>
        <v>9.4540000000000013E-2</v>
      </c>
      <c r="AJ18" s="52">
        <f t="shared" si="3"/>
        <v>9.5040000000000013E-2</v>
      </c>
      <c r="AK18" s="52">
        <f>$AO$26+(2*$AO$32)+(2*$AO$30)+(2*$AO$31)</f>
        <v>9.5040000000000013E-2</v>
      </c>
      <c r="AL18" s="201"/>
      <c r="AN18" s="33">
        <v>4</v>
      </c>
      <c r="AO18" s="34" t="s">
        <v>48</v>
      </c>
      <c r="AQ18" s="34"/>
      <c r="AR18" s="34"/>
      <c r="AV18" s="53" t="s">
        <v>43</v>
      </c>
      <c r="AW18" s="53" t="s">
        <v>48</v>
      </c>
      <c r="AX18" s="53">
        <v>3</v>
      </c>
      <c r="AY18" s="53">
        <v>680</v>
      </c>
      <c r="AZ18" s="53" t="str">
        <f t="shared" si="4"/>
        <v>FNFC3680</v>
      </c>
      <c r="BA18" s="53">
        <v>680</v>
      </c>
      <c r="BB18" s="53" t="str">
        <f t="shared" si="5"/>
        <v>FNFC3680</v>
      </c>
      <c r="BF18" s="49">
        <v>0.8</v>
      </c>
      <c r="BG18" s="50">
        <v>0.72499999999999998</v>
      </c>
      <c r="BH18" s="51">
        <v>0.82499999999999996</v>
      </c>
      <c r="BI18" s="49">
        <v>0.8</v>
      </c>
      <c r="BJ18" s="50">
        <v>0.72499999999999998</v>
      </c>
      <c r="BK18" s="51">
        <v>0.82499999999999996</v>
      </c>
      <c r="BL18" s="49">
        <v>0.8</v>
      </c>
      <c r="BM18" s="50">
        <v>0.72499999999999998</v>
      </c>
      <c r="BN18" s="51">
        <v>0.82499999999999996</v>
      </c>
      <c r="BO18" s="49">
        <v>0.72499999999999998</v>
      </c>
      <c r="BP18" s="50">
        <v>0.72499999999999998</v>
      </c>
      <c r="BQ18" s="51">
        <v>0.82499999999999996</v>
      </c>
      <c r="BR18" s="49">
        <v>0.72499999999999998</v>
      </c>
      <c r="BS18" s="50">
        <v>0.72499999999999998</v>
      </c>
      <c r="BT18" s="51">
        <v>0.82499999999999996</v>
      </c>
      <c r="BU18" s="49">
        <v>0.7</v>
      </c>
      <c r="BV18" s="50">
        <v>0.67499999999999993</v>
      </c>
      <c r="BW18" s="51">
        <v>0.74999999999999989</v>
      </c>
    </row>
    <row r="19" spans="3:78">
      <c r="C19" s="46" t="s">
        <v>43</v>
      </c>
      <c r="D19" s="46" t="s">
        <v>44</v>
      </c>
      <c r="E19" s="47">
        <v>7</v>
      </c>
      <c r="F19" s="47" t="str">
        <f t="shared" si="0"/>
        <v>FNFA7</v>
      </c>
      <c r="G19" s="47">
        <v>700</v>
      </c>
      <c r="H19" s="47" t="str">
        <f t="shared" si="6"/>
        <v>FNFA77003</v>
      </c>
      <c r="I19" s="47">
        <v>3</v>
      </c>
      <c r="J19" s="48">
        <v>2000000</v>
      </c>
      <c r="K19" s="48">
        <v>3499999</v>
      </c>
      <c r="L19" s="49">
        <f>+IFERROR(BF19+'[1]Master Sizer Inputs'!$T$29,"N/A")</f>
        <v>0.82499999999999996</v>
      </c>
      <c r="M19" s="50">
        <f>+IFERROR(BG19+'[1]Master Sizer Inputs'!$T$29,"N/A")</f>
        <v>0.75</v>
      </c>
      <c r="N19" s="51">
        <f>+IFERROR(BH19+'[1]Master Sizer Inputs'!$T$29,"N/A")</f>
        <v>0.875</v>
      </c>
      <c r="O19" s="49">
        <f>+IFERROR(BI19+'[1]Master Sizer Inputs'!$T$29,"N/A")</f>
        <v>0.82499999999999996</v>
      </c>
      <c r="P19" s="50">
        <f>+IFERROR(BJ19+'[1]Master Sizer Inputs'!$T$29,"N/A")</f>
        <v>0.75</v>
      </c>
      <c r="Q19" s="51">
        <f>+IFERROR(BK19+'[1]Master Sizer Inputs'!$T$29,"N/A")</f>
        <v>0.875</v>
      </c>
      <c r="R19" s="49">
        <f>+IFERROR(BL19+'[1]Master Sizer Inputs'!$T$29,"N/A")</f>
        <v>0.8</v>
      </c>
      <c r="S19" s="50">
        <f>+IFERROR(BM19+'[1]Master Sizer Inputs'!$T$29,"N/A")</f>
        <v>0.75</v>
      </c>
      <c r="T19" s="51">
        <f>+IFERROR(BN19+'[1]Master Sizer Inputs'!$T$29,"N/A")</f>
        <v>0.85</v>
      </c>
      <c r="U19" s="49">
        <f>+IFERROR(BO19+'[1]Master Sizer Inputs'!$T$29,"N/A")</f>
        <v>0.75</v>
      </c>
      <c r="V19" s="50">
        <f>+IFERROR(BP19+'[1]Master Sizer Inputs'!$T$29,"N/A")</f>
        <v>0.75</v>
      </c>
      <c r="W19" s="51">
        <f>+IFERROR(BQ19+'[1]Master Sizer Inputs'!$T$29,"N/A")</f>
        <v>0.85</v>
      </c>
      <c r="X19" s="49">
        <f>+IFERROR(BR19+'[1]Master Sizer Inputs'!$T$29,"N/A")</f>
        <v>0.75</v>
      </c>
      <c r="Y19" s="50">
        <f>+IFERROR(BS19+'[1]Master Sizer Inputs'!$T$29,"N/A")</f>
        <v>0.75</v>
      </c>
      <c r="Z19" s="51">
        <f>+IFERROR(BT19+'[1]Master Sizer Inputs'!$T$29,"N/A")</f>
        <v>0.85</v>
      </c>
      <c r="AA19" s="49">
        <f>+IFERROR(BU19+'[1]Master Sizer Inputs'!$T$29,"N/A")</f>
        <v>0.7</v>
      </c>
      <c r="AB19" s="49">
        <f>+IFERROR(BV19+'[1]Master Sizer Inputs'!$T$29,"N/A")</f>
        <v>0.7</v>
      </c>
      <c r="AC19" s="51">
        <f>+IFERROR(BW19+'[1]Master Sizer Inputs'!$T$29,"N/A")</f>
        <v>0.77499999999999991</v>
      </c>
      <c r="AD19" s="52">
        <f t="shared" si="1"/>
        <v>0</v>
      </c>
      <c r="AE19" s="52">
        <v>7.4999999999999997E-3</v>
      </c>
      <c r="AF19" s="52">
        <f t="shared" si="7"/>
        <v>9.154000000000001E-2</v>
      </c>
      <c r="AG19" s="52">
        <f>$AO$26+(2*$AO$32)+(1*$AO$31)</f>
        <v>9.154000000000001E-2</v>
      </c>
      <c r="AH19" s="52">
        <f t="shared" si="2"/>
        <v>9.2040000000000011E-2</v>
      </c>
      <c r="AI19" s="52">
        <f>$AO$26+(2*$AO$32)+(1*$AO$30)+(1*$AO$31)</f>
        <v>9.2040000000000011E-2</v>
      </c>
      <c r="AJ19" s="52">
        <f t="shared" si="3"/>
        <v>9.2540000000000011E-2</v>
      </c>
      <c r="AK19" s="52">
        <f>$AO$26+(2*$AO$32)+(2*$AO$30)+(1*$AO$31)</f>
        <v>9.2540000000000011E-2</v>
      </c>
      <c r="AL19" s="202">
        <v>6.2500000000000001E-4</v>
      </c>
      <c r="AM19" s="3"/>
      <c r="AN19" s="33">
        <v>3</v>
      </c>
      <c r="AO19" s="34" t="s">
        <v>48</v>
      </c>
      <c r="AQ19" s="34"/>
      <c r="AR19" s="34"/>
      <c r="AV19" s="53" t="s">
        <v>43</v>
      </c>
      <c r="AW19" s="53" t="s">
        <v>48</v>
      </c>
      <c r="AX19" s="53">
        <v>3</v>
      </c>
      <c r="AY19" s="53">
        <v>700</v>
      </c>
      <c r="AZ19" s="53" t="str">
        <f t="shared" si="4"/>
        <v>FNFC3700</v>
      </c>
      <c r="BA19" s="53">
        <v>700</v>
      </c>
      <c r="BB19" s="53" t="str">
        <f t="shared" si="5"/>
        <v>FNFC3700</v>
      </c>
      <c r="BF19" s="49">
        <v>0.82499999999999996</v>
      </c>
      <c r="BG19" s="50">
        <v>0.75</v>
      </c>
      <c r="BH19" s="51">
        <v>0.875</v>
      </c>
      <c r="BI19" s="49">
        <v>0.82499999999999996</v>
      </c>
      <c r="BJ19" s="50">
        <v>0.75</v>
      </c>
      <c r="BK19" s="51">
        <v>0.875</v>
      </c>
      <c r="BL19" s="49">
        <v>0.8</v>
      </c>
      <c r="BM19" s="50">
        <v>0.75</v>
      </c>
      <c r="BN19" s="51">
        <v>0.85</v>
      </c>
      <c r="BO19" s="49">
        <v>0.75</v>
      </c>
      <c r="BP19" s="50">
        <v>0.75</v>
      </c>
      <c r="BQ19" s="51">
        <v>0.85</v>
      </c>
      <c r="BR19" s="49">
        <v>0.75</v>
      </c>
      <c r="BS19" s="50">
        <v>0.75</v>
      </c>
      <c r="BT19" s="51">
        <v>0.85</v>
      </c>
      <c r="BU19" s="49">
        <v>0.7</v>
      </c>
      <c r="BV19" s="50">
        <v>0.7</v>
      </c>
      <c r="BW19" s="51">
        <v>0.77499999999999991</v>
      </c>
    </row>
    <row r="20" spans="3:78">
      <c r="C20" s="46" t="s">
        <v>43</v>
      </c>
      <c r="D20" s="46" t="s">
        <v>44</v>
      </c>
      <c r="E20" s="47">
        <v>7</v>
      </c>
      <c r="F20" s="47" t="str">
        <f t="shared" si="0"/>
        <v>FNFA7</v>
      </c>
      <c r="G20" s="47">
        <v>700</v>
      </c>
      <c r="H20" s="47" t="str">
        <f t="shared" si="6"/>
        <v>FNFA77002</v>
      </c>
      <c r="I20" s="47">
        <v>2</v>
      </c>
      <c r="J20" s="48">
        <v>1000000</v>
      </c>
      <c r="K20" s="48">
        <v>1999999</v>
      </c>
      <c r="L20" s="49">
        <f>+IFERROR(BF20+'[1]Master Sizer Inputs'!$T$29,"N/A")</f>
        <v>0.82500000000000007</v>
      </c>
      <c r="M20" s="50">
        <f>+IFERROR(BG20+'[1]Master Sizer Inputs'!$T$29,"N/A")</f>
        <v>0.75</v>
      </c>
      <c r="N20" s="51">
        <f>+IFERROR(BH20+'[1]Master Sizer Inputs'!$T$29,"N/A")</f>
        <v>0.875</v>
      </c>
      <c r="O20" s="49">
        <f>+IFERROR(BI20+'[1]Master Sizer Inputs'!$T$29,"N/A")</f>
        <v>0.82500000000000007</v>
      </c>
      <c r="P20" s="50">
        <f>+IFERROR(BJ20+'[1]Master Sizer Inputs'!$T$29,"N/A")</f>
        <v>0.75</v>
      </c>
      <c r="Q20" s="51">
        <f>+IFERROR(BK20+'[1]Master Sizer Inputs'!$T$29,"N/A")</f>
        <v>0.875</v>
      </c>
      <c r="R20" s="49">
        <f>+IFERROR(BL20+'[1]Master Sizer Inputs'!$T$29,"N/A")</f>
        <v>0.82500000000000007</v>
      </c>
      <c r="S20" s="50">
        <f>+IFERROR(BM20+'[1]Master Sizer Inputs'!$T$29,"N/A")</f>
        <v>0.75</v>
      </c>
      <c r="T20" s="51">
        <f>+IFERROR(BN20+'[1]Master Sizer Inputs'!$T$29,"N/A")</f>
        <v>0.85</v>
      </c>
      <c r="U20" s="49">
        <f>+IFERROR(BO20+'[1]Master Sizer Inputs'!$T$29,"N/A")</f>
        <v>0.77500000000000002</v>
      </c>
      <c r="V20" s="50">
        <f>+IFERROR(BP20+'[1]Master Sizer Inputs'!$T$29,"N/A")</f>
        <v>0.77500000000000002</v>
      </c>
      <c r="W20" s="51">
        <f>+IFERROR(BQ20+'[1]Master Sizer Inputs'!$T$29,"N/A")</f>
        <v>0.85</v>
      </c>
      <c r="X20" s="49">
        <f>+IFERROR(BR20+'[1]Master Sizer Inputs'!$T$29,"N/A")</f>
        <v>0.77500000000000002</v>
      </c>
      <c r="Y20" s="50">
        <f>+IFERROR(BS20+'[1]Master Sizer Inputs'!$T$29,"N/A")</f>
        <v>0.77500000000000002</v>
      </c>
      <c r="Z20" s="51">
        <f>+IFERROR(BT20+'[1]Master Sizer Inputs'!$T$29,"N/A")</f>
        <v>0.85</v>
      </c>
      <c r="AA20" s="49">
        <f>+IFERROR(BU20+'[1]Master Sizer Inputs'!$T$29,"N/A")</f>
        <v>0.72499999999999998</v>
      </c>
      <c r="AB20" s="49">
        <f>+IFERROR(BV20+'[1]Master Sizer Inputs'!$T$29,"N/A")</f>
        <v>0.7</v>
      </c>
      <c r="AC20" s="51">
        <f>+IFERROR(BW20+'[1]Master Sizer Inputs'!$T$29,"N/A")</f>
        <v>0.77499999999999991</v>
      </c>
      <c r="AD20" s="52">
        <f t="shared" si="1"/>
        <v>0</v>
      </c>
      <c r="AE20" s="52">
        <v>7.4999999999999997E-3</v>
      </c>
      <c r="AF20" s="52">
        <f t="shared" si="7"/>
        <v>8.9040000000000008E-2</v>
      </c>
      <c r="AG20" s="52">
        <f>$AO$26+(2*$AO$32)</f>
        <v>8.9040000000000008E-2</v>
      </c>
      <c r="AH20" s="52">
        <f t="shared" si="2"/>
        <v>8.9540000000000008E-2</v>
      </c>
      <c r="AI20" s="52">
        <f>$AO$26+(2*$AO$32)+(1*$AO$30)</f>
        <v>8.9540000000000008E-2</v>
      </c>
      <c r="AJ20" s="52">
        <f t="shared" si="3"/>
        <v>9.0040000000000009E-2</v>
      </c>
      <c r="AK20" s="52">
        <f>$AO$26+(2*$AO$32)+(2*$AO$30)</f>
        <v>9.0040000000000009E-2</v>
      </c>
      <c r="AL20" s="201"/>
      <c r="AN20" s="34">
        <v>2</v>
      </c>
      <c r="AO20" s="34" t="s">
        <v>49</v>
      </c>
      <c r="AQ20" s="34"/>
      <c r="AR20" s="34"/>
      <c r="AV20" s="53" t="s">
        <v>43</v>
      </c>
      <c r="AW20" s="53" t="s">
        <v>48</v>
      </c>
      <c r="AX20" s="53">
        <v>3</v>
      </c>
      <c r="AY20" s="53">
        <v>720</v>
      </c>
      <c r="AZ20" s="53" t="str">
        <f t="shared" si="4"/>
        <v>FNFC3720</v>
      </c>
      <c r="BA20" s="53">
        <v>720</v>
      </c>
      <c r="BB20" s="53" t="str">
        <f t="shared" si="5"/>
        <v>FNFC3720</v>
      </c>
      <c r="BF20" s="49">
        <v>0.82500000000000007</v>
      </c>
      <c r="BG20" s="50">
        <v>0.75</v>
      </c>
      <c r="BH20" s="51">
        <v>0.875</v>
      </c>
      <c r="BI20" s="49">
        <v>0.82500000000000007</v>
      </c>
      <c r="BJ20" s="50">
        <v>0.75</v>
      </c>
      <c r="BK20" s="51">
        <v>0.875</v>
      </c>
      <c r="BL20" s="49">
        <v>0.82500000000000007</v>
      </c>
      <c r="BM20" s="50">
        <v>0.75</v>
      </c>
      <c r="BN20" s="51">
        <v>0.85</v>
      </c>
      <c r="BO20" s="49">
        <v>0.77500000000000002</v>
      </c>
      <c r="BP20" s="50">
        <v>0.77500000000000002</v>
      </c>
      <c r="BQ20" s="51">
        <v>0.85</v>
      </c>
      <c r="BR20" s="49">
        <v>0.77500000000000002</v>
      </c>
      <c r="BS20" s="50">
        <v>0.77500000000000002</v>
      </c>
      <c r="BT20" s="51">
        <v>0.85</v>
      </c>
      <c r="BU20" s="49">
        <v>0.72499999999999998</v>
      </c>
      <c r="BV20" s="50">
        <v>0.7</v>
      </c>
      <c r="BW20" s="51">
        <v>0.77499999999999991</v>
      </c>
    </row>
    <row r="21" spans="3:78" ht="16.5" thickBot="1">
      <c r="C21" s="46" t="s">
        <v>43</v>
      </c>
      <c r="D21" s="46" t="s">
        <v>44</v>
      </c>
      <c r="E21" s="47">
        <v>7</v>
      </c>
      <c r="F21" s="47" t="str">
        <f t="shared" si="0"/>
        <v>FNFA7</v>
      </c>
      <c r="G21" s="47">
        <v>700</v>
      </c>
      <c r="H21" s="47" t="str">
        <f t="shared" si="6"/>
        <v>FNFA77001</v>
      </c>
      <c r="I21" s="47">
        <v>1</v>
      </c>
      <c r="J21" s="48">
        <v>150000</v>
      </c>
      <c r="K21" s="48">
        <v>999999</v>
      </c>
      <c r="L21" s="54">
        <f>+IFERROR(BF21+'[1]Master Sizer Inputs'!$T$29,"N/A")</f>
        <v>0.82500000000000007</v>
      </c>
      <c r="M21" s="55">
        <f>+IFERROR(BG21+'[1]Master Sizer Inputs'!$T$29,"N/A")</f>
        <v>0.77500000000000002</v>
      </c>
      <c r="N21" s="56">
        <f>+IFERROR(BH21+'[1]Master Sizer Inputs'!$T$29,"N/A")</f>
        <v>0.875</v>
      </c>
      <c r="O21" s="54">
        <f>+IFERROR(BI21+'[1]Master Sizer Inputs'!$T$29,"N/A")</f>
        <v>0.82500000000000007</v>
      </c>
      <c r="P21" s="55">
        <f>+IFERROR(BJ21+'[1]Master Sizer Inputs'!$T$29,"N/A")</f>
        <v>0.77500000000000002</v>
      </c>
      <c r="Q21" s="56">
        <f>+IFERROR(BK21+'[1]Master Sizer Inputs'!$T$29,"N/A")</f>
        <v>0.875</v>
      </c>
      <c r="R21" s="54">
        <f>+IFERROR(BL21+'[1]Master Sizer Inputs'!$T$29,"N/A")</f>
        <v>0.82500000000000007</v>
      </c>
      <c r="S21" s="55">
        <f>+IFERROR(BM21+'[1]Master Sizer Inputs'!$T$29,"N/A")</f>
        <v>0.77500000000000002</v>
      </c>
      <c r="T21" s="56">
        <f>+IFERROR(BN21+'[1]Master Sizer Inputs'!$T$29,"N/A")</f>
        <v>0.85</v>
      </c>
      <c r="U21" s="54">
        <f>+IFERROR(BO21+'[1]Master Sizer Inputs'!$T$29,"N/A")</f>
        <v>0.77500000000000002</v>
      </c>
      <c r="V21" s="55">
        <f>+IFERROR(BP21+'[1]Master Sizer Inputs'!$T$29,"N/A")</f>
        <v>0.77500000000000002</v>
      </c>
      <c r="W21" s="56">
        <f>+IFERROR(BQ21+'[1]Master Sizer Inputs'!$T$29,"N/A")</f>
        <v>0.85</v>
      </c>
      <c r="X21" s="54">
        <f>+IFERROR(BR21+'[1]Master Sizer Inputs'!$T$29,"N/A")</f>
        <v>0.77500000000000002</v>
      </c>
      <c r="Y21" s="55">
        <f>+IFERROR(BS21+'[1]Master Sizer Inputs'!$T$29,"N/A")</f>
        <v>0.77500000000000002</v>
      </c>
      <c r="Z21" s="56">
        <f>+IFERROR(BT21+'[1]Master Sizer Inputs'!$T$29,"N/A")</f>
        <v>0.85</v>
      </c>
      <c r="AA21" s="54">
        <f>+IFERROR(BU21+'[1]Master Sizer Inputs'!$T$29,"N/A")</f>
        <v>0.72499999999999998</v>
      </c>
      <c r="AB21" s="54">
        <f>+IFERROR(BV21+'[1]Master Sizer Inputs'!$T$29,"N/A")</f>
        <v>0.72499999999999998</v>
      </c>
      <c r="AC21" s="56">
        <f>+IFERROR(BW21+'[1]Master Sizer Inputs'!$T$29,"N/A")</f>
        <v>0.77499999999999991</v>
      </c>
      <c r="AD21" s="52">
        <f t="shared" si="1"/>
        <v>0</v>
      </c>
      <c r="AE21" s="52">
        <v>7.4999999999999997E-3</v>
      </c>
      <c r="AF21" s="52">
        <f t="shared" si="7"/>
        <v>8.9040000000000008E-2</v>
      </c>
      <c r="AG21" s="52">
        <f>$AO$26+(2*$AO$32)</f>
        <v>8.9040000000000008E-2</v>
      </c>
      <c r="AH21" s="52">
        <f t="shared" si="2"/>
        <v>8.9540000000000008E-2</v>
      </c>
      <c r="AI21" s="52">
        <f>$AO$26+(2*$AO$32)+(1*$AO$30)</f>
        <v>8.9540000000000008E-2</v>
      </c>
      <c r="AJ21" s="52">
        <f t="shared" si="3"/>
        <v>9.0040000000000009E-2</v>
      </c>
      <c r="AK21" s="52">
        <f>$AO$26+(2*$AO$32)+(2*$AO$30)</f>
        <v>9.0040000000000009E-2</v>
      </c>
      <c r="AL21" s="201"/>
      <c r="AN21" s="33">
        <v>1</v>
      </c>
      <c r="AO21" s="34" t="s">
        <v>49</v>
      </c>
      <c r="AQ21" s="34"/>
      <c r="AR21" s="34"/>
      <c r="AV21" s="53" t="s">
        <v>43</v>
      </c>
      <c r="AW21" s="53" t="s">
        <v>48</v>
      </c>
      <c r="AX21" s="53">
        <v>3</v>
      </c>
      <c r="AY21" s="53">
        <v>740</v>
      </c>
      <c r="AZ21" s="53" t="str">
        <f t="shared" si="4"/>
        <v>FNFC3740</v>
      </c>
      <c r="BA21" s="53">
        <v>740</v>
      </c>
      <c r="BB21" s="53" t="str">
        <f t="shared" si="5"/>
        <v>FNFC3740</v>
      </c>
      <c r="BF21" s="54">
        <v>0.82500000000000007</v>
      </c>
      <c r="BG21" s="55">
        <v>0.77500000000000002</v>
      </c>
      <c r="BH21" s="56">
        <v>0.875</v>
      </c>
      <c r="BI21" s="54">
        <v>0.82500000000000007</v>
      </c>
      <c r="BJ21" s="55">
        <v>0.77500000000000002</v>
      </c>
      <c r="BK21" s="56">
        <v>0.875</v>
      </c>
      <c r="BL21" s="54">
        <v>0.82500000000000007</v>
      </c>
      <c r="BM21" s="55">
        <v>0.77500000000000002</v>
      </c>
      <c r="BN21" s="56">
        <v>0.85</v>
      </c>
      <c r="BO21" s="54">
        <v>0.77500000000000002</v>
      </c>
      <c r="BP21" s="55">
        <v>0.77500000000000002</v>
      </c>
      <c r="BQ21" s="56">
        <v>0.85</v>
      </c>
      <c r="BR21" s="54">
        <v>0.77500000000000002</v>
      </c>
      <c r="BS21" s="55">
        <v>0.77500000000000002</v>
      </c>
      <c r="BT21" s="56">
        <v>0.85</v>
      </c>
      <c r="BU21" s="54">
        <v>0.72499999999999998</v>
      </c>
      <c r="BV21" s="55">
        <v>0.72499999999999998</v>
      </c>
      <c r="BW21" s="56">
        <v>0.77499999999999991</v>
      </c>
    </row>
    <row r="22" spans="3:78">
      <c r="C22" s="57" t="s">
        <v>43</v>
      </c>
      <c r="D22" s="57" t="s">
        <v>44</v>
      </c>
      <c r="E22" s="58">
        <v>7</v>
      </c>
      <c r="F22" s="58" t="str">
        <f t="shared" si="0"/>
        <v>FNFA7</v>
      </c>
      <c r="G22" s="58">
        <v>680</v>
      </c>
      <c r="H22" s="58" t="str">
        <f t="shared" si="6"/>
        <v>FNFA76804</v>
      </c>
      <c r="I22" s="58">
        <v>4</v>
      </c>
      <c r="J22" s="59">
        <v>3500000</v>
      </c>
      <c r="K22" s="59">
        <v>4999999</v>
      </c>
      <c r="L22" s="60">
        <f>+IFERROR(BF22+'[1]Master Sizer Inputs'!$T$29,"N/A")</f>
        <v>0.77500000000000002</v>
      </c>
      <c r="M22" s="61">
        <f>+IFERROR(BG22+'[1]Master Sizer Inputs'!$T$29,"N/A")</f>
        <v>0.7</v>
      </c>
      <c r="N22" s="62">
        <f>+IFERROR(BH22+'[1]Master Sizer Inputs'!$T$29,"N/A")</f>
        <v>0.79999999999999993</v>
      </c>
      <c r="O22" s="60">
        <f>+IFERROR(BI22+'[1]Master Sizer Inputs'!$T$29,"N/A")</f>
        <v>0.77500000000000002</v>
      </c>
      <c r="P22" s="61">
        <f>+IFERROR(BJ22+'[1]Master Sizer Inputs'!$T$29,"N/A")</f>
        <v>0.7</v>
      </c>
      <c r="Q22" s="62">
        <f>+IFERROR(BK22+'[1]Master Sizer Inputs'!$T$29,"N/A")</f>
        <v>0.79999999999999993</v>
      </c>
      <c r="R22" s="60">
        <f>+IFERROR(BL22+'[1]Master Sizer Inputs'!$T$29,"N/A")</f>
        <v>0.77500000000000002</v>
      </c>
      <c r="S22" s="61">
        <f>+IFERROR(BM22+'[1]Master Sizer Inputs'!$T$29,"N/A")</f>
        <v>0.7</v>
      </c>
      <c r="T22" s="62">
        <f>+IFERROR(BN22+'[1]Master Sizer Inputs'!$T$29,"N/A")</f>
        <v>0.79999999999999993</v>
      </c>
      <c r="U22" s="60">
        <f>+IFERROR(BO22+'[1]Master Sizer Inputs'!$T$29,"N/A")</f>
        <v>0.7</v>
      </c>
      <c r="V22" s="61">
        <f>+IFERROR(BP22+'[1]Master Sizer Inputs'!$T$29,"N/A")</f>
        <v>0.7</v>
      </c>
      <c r="W22" s="62">
        <f>+IFERROR(BQ22+'[1]Master Sizer Inputs'!$T$29,"N/A")</f>
        <v>0.79999999999999993</v>
      </c>
      <c r="X22" s="60">
        <f>+IFERROR(BR22+'[1]Master Sizer Inputs'!$T$29,"N/A")</f>
        <v>0.7</v>
      </c>
      <c r="Y22" s="61">
        <f>+IFERROR(BS22+'[1]Master Sizer Inputs'!$T$29,"N/A")</f>
        <v>0.7</v>
      </c>
      <c r="Z22" s="62">
        <f>+IFERROR(BT22+'[1]Master Sizer Inputs'!$T$29,"N/A")</f>
        <v>0.79999999999999993</v>
      </c>
      <c r="AA22" s="60">
        <f>+IFERROR(BU22+'[1]Master Sizer Inputs'!$T$29,"N/A")</f>
        <v>0.67499999999999993</v>
      </c>
      <c r="AB22" s="60">
        <f>+IFERROR(BV22+'[1]Master Sizer Inputs'!$T$29,"N/A")</f>
        <v>0.64999999999999991</v>
      </c>
      <c r="AC22" s="62">
        <f>+IFERROR(BW22+'[1]Master Sizer Inputs'!$T$29,"N/A")</f>
        <v>0.72499999999999987</v>
      </c>
      <c r="AD22" s="63">
        <f t="shared" si="1"/>
        <v>0</v>
      </c>
      <c r="AE22" s="63">
        <v>7.4999999999999997E-3</v>
      </c>
      <c r="AF22" s="63">
        <f>+AF18+$AO$32</f>
        <v>9.5290000000000014E-2</v>
      </c>
      <c r="AG22" s="63">
        <f>$AO$26+(3*$AO$32)+(2*$AO$31)</f>
        <v>9.5290000000000014E-2</v>
      </c>
      <c r="AH22" s="63">
        <f t="shared" si="2"/>
        <v>9.5790000000000014E-2</v>
      </c>
      <c r="AI22" s="63">
        <f>$AO$26+(3*$AO$32)+(1*$AO$30)+(2*$AO$31)</f>
        <v>9.5790000000000014E-2</v>
      </c>
      <c r="AJ22" s="63">
        <f t="shared" si="3"/>
        <v>9.6290000000000014E-2</v>
      </c>
      <c r="AK22" s="63">
        <f>$AO$26+(3*$AO$32)+(2*$AO$30)+(2*$AO$31)</f>
        <v>9.6290000000000014E-2</v>
      </c>
      <c r="AL22" s="201"/>
      <c r="AV22" s="64" t="s">
        <v>43</v>
      </c>
      <c r="AW22" s="64" t="s">
        <v>49</v>
      </c>
      <c r="AX22" s="64">
        <v>1</v>
      </c>
      <c r="AY22" s="64">
        <v>680</v>
      </c>
      <c r="AZ22" s="64" t="str">
        <f t="shared" si="4"/>
        <v>FNFD1680</v>
      </c>
      <c r="BA22" s="64">
        <v>680</v>
      </c>
      <c r="BB22" s="64" t="str">
        <f t="shared" si="5"/>
        <v>FNFD1680</v>
      </c>
      <c r="BF22" s="60">
        <v>0.77500000000000002</v>
      </c>
      <c r="BG22" s="61">
        <v>0.7</v>
      </c>
      <c r="BH22" s="62">
        <v>0.79999999999999993</v>
      </c>
      <c r="BI22" s="60">
        <v>0.77500000000000002</v>
      </c>
      <c r="BJ22" s="61">
        <v>0.7</v>
      </c>
      <c r="BK22" s="62">
        <v>0.79999999999999993</v>
      </c>
      <c r="BL22" s="60">
        <v>0.77500000000000002</v>
      </c>
      <c r="BM22" s="61">
        <v>0.7</v>
      </c>
      <c r="BN22" s="62">
        <v>0.79999999999999993</v>
      </c>
      <c r="BO22" s="60">
        <v>0.7</v>
      </c>
      <c r="BP22" s="61">
        <v>0.7</v>
      </c>
      <c r="BQ22" s="62">
        <v>0.79999999999999993</v>
      </c>
      <c r="BR22" s="60">
        <v>0.7</v>
      </c>
      <c r="BS22" s="61">
        <v>0.7</v>
      </c>
      <c r="BT22" s="62">
        <v>0.79999999999999993</v>
      </c>
      <c r="BU22" s="60">
        <v>0.67499999999999993</v>
      </c>
      <c r="BV22" s="61">
        <v>0.64999999999999991</v>
      </c>
      <c r="BW22" s="62">
        <v>0.72499999999999987</v>
      </c>
    </row>
    <row r="23" spans="3:78">
      <c r="C23" s="57" t="s">
        <v>43</v>
      </c>
      <c r="D23" s="57" t="s">
        <v>44</v>
      </c>
      <c r="E23" s="58">
        <v>7</v>
      </c>
      <c r="F23" s="58" t="str">
        <f t="shared" si="0"/>
        <v>FNFA7</v>
      </c>
      <c r="G23" s="58">
        <v>680</v>
      </c>
      <c r="H23" s="58" t="str">
        <f t="shared" si="6"/>
        <v>FNFA76803</v>
      </c>
      <c r="I23" s="58">
        <v>3</v>
      </c>
      <c r="J23" s="59">
        <v>2000000</v>
      </c>
      <c r="K23" s="59">
        <v>3499999</v>
      </c>
      <c r="L23" s="60">
        <f>+IFERROR(BF23+'[1]Master Sizer Inputs'!$T$29,"N/A")</f>
        <v>0.79999999999999993</v>
      </c>
      <c r="M23" s="61">
        <f>+IFERROR(BG23+'[1]Master Sizer Inputs'!$T$29,"N/A")</f>
        <v>0.72499999999999998</v>
      </c>
      <c r="N23" s="62">
        <f>+IFERROR(BH23+'[1]Master Sizer Inputs'!$T$29,"N/A")</f>
        <v>0.85</v>
      </c>
      <c r="O23" s="60">
        <f>+IFERROR(BI23+'[1]Master Sizer Inputs'!$T$29,"N/A")</f>
        <v>0.79999999999999993</v>
      </c>
      <c r="P23" s="61">
        <f>+IFERROR(BJ23+'[1]Master Sizer Inputs'!$T$29,"N/A")</f>
        <v>0.72499999999999998</v>
      </c>
      <c r="Q23" s="62">
        <f>+IFERROR(BK23+'[1]Master Sizer Inputs'!$T$29,"N/A")</f>
        <v>0.85</v>
      </c>
      <c r="R23" s="60">
        <f>+IFERROR(BL23+'[1]Master Sizer Inputs'!$T$29,"N/A")</f>
        <v>0.77500000000000002</v>
      </c>
      <c r="S23" s="61">
        <f>+IFERROR(BM23+'[1]Master Sizer Inputs'!$T$29,"N/A")</f>
        <v>0.72499999999999998</v>
      </c>
      <c r="T23" s="62">
        <f>+IFERROR(BN23+'[1]Master Sizer Inputs'!$T$29,"N/A")</f>
        <v>0.82499999999999996</v>
      </c>
      <c r="U23" s="60">
        <f>+IFERROR(BO23+'[1]Master Sizer Inputs'!$T$29,"N/A")</f>
        <v>0.72499999999999998</v>
      </c>
      <c r="V23" s="61">
        <f>+IFERROR(BP23+'[1]Master Sizer Inputs'!$T$29,"N/A")</f>
        <v>0.72499999999999998</v>
      </c>
      <c r="W23" s="62">
        <f>+IFERROR(BQ23+'[1]Master Sizer Inputs'!$T$29,"N/A")</f>
        <v>0.82499999999999996</v>
      </c>
      <c r="X23" s="60">
        <f>+IFERROR(BR23+'[1]Master Sizer Inputs'!$T$29,"N/A")</f>
        <v>0.72499999999999998</v>
      </c>
      <c r="Y23" s="61">
        <f>+IFERROR(BS23+'[1]Master Sizer Inputs'!$T$29,"N/A")</f>
        <v>0.72499999999999998</v>
      </c>
      <c r="Z23" s="62">
        <f>+IFERROR(BT23+'[1]Master Sizer Inputs'!$T$29,"N/A")</f>
        <v>0.82499999999999996</v>
      </c>
      <c r="AA23" s="60">
        <f>+IFERROR(BU23+'[1]Master Sizer Inputs'!$T$29,"N/A")</f>
        <v>0.67499999999999993</v>
      </c>
      <c r="AB23" s="60">
        <f>+IFERROR(BV23+'[1]Master Sizer Inputs'!$T$29,"N/A")</f>
        <v>0.67499999999999993</v>
      </c>
      <c r="AC23" s="62">
        <f>+IFERROR(BW23+'[1]Master Sizer Inputs'!$T$29,"N/A")</f>
        <v>0.74999999999999989</v>
      </c>
      <c r="AD23" s="63">
        <f t="shared" si="1"/>
        <v>0</v>
      </c>
      <c r="AE23" s="63">
        <v>7.4999999999999997E-3</v>
      </c>
      <c r="AF23" s="63">
        <f t="shared" si="7"/>
        <v>9.2790000000000011E-2</v>
      </c>
      <c r="AG23" s="63">
        <f>$AO$26+(3*$AO$32)+(1*$AO$31)</f>
        <v>9.2790000000000011E-2</v>
      </c>
      <c r="AH23" s="63">
        <f t="shared" si="2"/>
        <v>9.3290000000000012E-2</v>
      </c>
      <c r="AI23" s="63">
        <f>$AO$26+(3*$AO$32)+(1*$AO$30)+(1*$AO$31)</f>
        <v>9.3290000000000012E-2</v>
      </c>
      <c r="AJ23" s="63">
        <f t="shared" si="3"/>
        <v>9.3790000000000012E-2</v>
      </c>
      <c r="AK23" s="63">
        <f>$AO$26+(3*$AO$32)+(2*$AO$30)+(1*$AO$31)</f>
        <v>9.3790000000000012E-2</v>
      </c>
      <c r="AL23" s="201"/>
      <c r="AN23" s="65" t="s">
        <v>50</v>
      </c>
      <c r="AO23" s="66">
        <v>4.3290000000000002E-2</v>
      </c>
      <c r="AP23" s="66">
        <v>4.7449999999999999E-2</v>
      </c>
      <c r="AV23" s="64" t="s">
        <v>43</v>
      </c>
      <c r="AW23" s="64" t="s">
        <v>49</v>
      </c>
      <c r="AX23" s="64">
        <v>1</v>
      </c>
      <c r="AY23" s="64">
        <v>700</v>
      </c>
      <c r="AZ23" s="64" t="str">
        <f t="shared" si="4"/>
        <v>FNFD1700</v>
      </c>
      <c r="BA23" s="64">
        <v>700</v>
      </c>
      <c r="BB23" s="64" t="str">
        <f t="shared" si="5"/>
        <v>FNFD1700</v>
      </c>
      <c r="BF23" s="68">
        <v>0.79999999999999993</v>
      </c>
      <c r="BG23" s="69">
        <v>0.72499999999999998</v>
      </c>
      <c r="BH23" s="70">
        <v>0.85</v>
      </c>
      <c r="BI23" s="60">
        <v>0.79999999999999993</v>
      </c>
      <c r="BJ23" s="61">
        <v>0.72499999999999998</v>
      </c>
      <c r="BK23" s="62">
        <v>0.85</v>
      </c>
      <c r="BL23" s="60">
        <v>0.77500000000000002</v>
      </c>
      <c r="BM23" s="61">
        <v>0.72499999999999998</v>
      </c>
      <c r="BN23" s="62">
        <v>0.82499999999999996</v>
      </c>
      <c r="BO23" s="60">
        <v>0.72499999999999998</v>
      </c>
      <c r="BP23" s="61">
        <v>0.72499999999999998</v>
      </c>
      <c r="BQ23" s="62">
        <v>0.82499999999999996</v>
      </c>
      <c r="BR23" s="60">
        <v>0.72499999999999998</v>
      </c>
      <c r="BS23" s="61">
        <v>0.72499999999999998</v>
      </c>
      <c r="BT23" s="62">
        <v>0.82499999999999996</v>
      </c>
      <c r="BU23" s="60">
        <v>0.67499999999999993</v>
      </c>
      <c r="BV23" s="61">
        <v>0.67499999999999993</v>
      </c>
      <c r="BW23" s="62">
        <v>0.74999999999999989</v>
      </c>
    </row>
    <row r="24" spans="3:78">
      <c r="C24" s="57" t="s">
        <v>43</v>
      </c>
      <c r="D24" s="57" t="s">
        <v>44</v>
      </c>
      <c r="E24" s="58">
        <v>7</v>
      </c>
      <c r="F24" s="58" t="str">
        <f t="shared" si="0"/>
        <v>FNFA7</v>
      </c>
      <c r="G24" s="58">
        <v>680</v>
      </c>
      <c r="H24" s="58" t="str">
        <f t="shared" si="6"/>
        <v>FNFA76802</v>
      </c>
      <c r="I24" s="58">
        <v>2</v>
      </c>
      <c r="J24" s="59">
        <v>1000000</v>
      </c>
      <c r="K24" s="59">
        <v>1999999</v>
      </c>
      <c r="L24" s="68">
        <f>+IFERROR(BF24+'[1]Master Sizer Inputs'!$T$29,"N/A")</f>
        <v>0.8</v>
      </c>
      <c r="M24" s="69">
        <f>+IFERROR(BG24+'[1]Master Sizer Inputs'!$T$29,"N/A")</f>
        <v>0.72499999999999998</v>
      </c>
      <c r="N24" s="70">
        <f>+IFERROR(BH24+'[1]Master Sizer Inputs'!$T$29,"N/A")</f>
        <v>0.85</v>
      </c>
      <c r="O24" s="68">
        <f>+IFERROR(BI24+'[1]Master Sizer Inputs'!$T$29,"N/A")</f>
        <v>0.8</v>
      </c>
      <c r="P24" s="69">
        <f>+IFERROR(BJ24+'[1]Master Sizer Inputs'!$T$29,"N/A")</f>
        <v>0.72499999999999998</v>
      </c>
      <c r="Q24" s="70">
        <f>+IFERROR(BK24+'[1]Master Sizer Inputs'!$T$29,"N/A")</f>
        <v>0.85</v>
      </c>
      <c r="R24" s="68">
        <f>+IFERROR(BL24+'[1]Master Sizer Inputs'!$T$29,"N/A")</f>
        <v>0.8</v>
      </c>
      <c r="S24" s="69">
        <f>+IFERROR(BM24+'[1]Master Sizer Inputs'!$T$29,"N/A")</f>
        <v>0.72499999999999998</v>
      </c>
      <c r="T24" s="70">
        <f>+IFERROR(BN24+'[1]Master Sizer Inputs'!$T$29,"N/A")</f>
        <v>0.82499999999999996</v>
      </c>
      <c r="U24" s="68">
        <f>+IFERROR(BO24+'[1]Master Sizer Inputs'!$T$29,"N/A")</f>
        <v>0.75</v>
      </c>
      <c r="V24" s="69">
        <f>+IFERROR(BP24+'[1]Master Sizer Inputs'!$T$29,"N/A")</f>
        <v>0.75</v>
      </c>
      <c r="W24" s="70">
        <f>+IFERROR(BQ24+'[1]Master Sizer Inputs'!$T$29,"N/A")</f>
        <v>0.82499999999999996</v>
      </c>
      <c r="X24" s="68">
        <f>+IFERROR(BR24+'[1]Master Sizer Inputs'!$T$29,"N/A")</f>
        <v>0.75</v>
      </c>
      <c r="Y24" s="69">
        <f>+IFERROR(BS24+'[1]Master Sizer Inputs'!$T$29,"N/A")</f>
        <v>0.75</v>
      </c>
      <c r="Z24" s="70">
        <f>+IFERROR(BT24+'[1]Master Sizer Inputs'!$T$29,"N/A")</f>
        <v>0.82499999999999996</v>
      </c>
      <c r="AA24" s="68">
        <f>+IFERROR(BU24+'[1]Master Sizer Inputs'!$T$29,"N/A")</f>
        <v>0.7</v>
      </c>
      <c r="AB24" s="68">
        <f>+IFERROR(BV24+'[1]Master Sizer Inputs'!$T$29,"N/A")</f>
        <v>0.67499999999999993</v>
      </c>
      <c r="AC24" s="70">
        <f>+IFERROR(BW24+'[1]Master Sizer Inputs'!$T$29,"N/A")</f>
        <v>0.74999999999999989</v>
      </c>
      <c r="AD24" s="63">
        <f t="shared" si="1"/>
        <v>0</v>
      </c>
      <c r="AE24" s="63">
        <v>7.4999999999999997E-3</v>
      </c>
      <c r="AF24" s="63">
        <f t="shared" si="7"/>
        <v>9.0290000000000009E-2</v>
      </c>
      <c r="AG24" s="63">
        <f>$AO$26+(3*$AO$32)</f>
        <v>9.0290000000000009E-2</v>
      </c>
      <c r="AH24" s="63">
        <f t="shared" si="2"/>
        <v>9.079000000000001E-2</v>
      </c>
      <c r="AI24" s="63">
        <f>$AO$26+(3*$AO$32)+(1*$AO$30)</f>
        <v>9.079000000000001E-2</v>
      </c>
      <c r="AJ24" s="63">
        <f t="shared" si="3"/>
        <v>9.129000000000001E-2</v>
      </c>
      <c r="AK24" s="63">
        <f>$AO$26+(3*$AO$32)+(2*$AO$30)</f>
        <v>9.129000000000001E-2</v>
      </c>
      <c r="AL24" s="201"/>
      <c r="AN24" s="65" t="s">
        <v>51</v>
      </c>
      <c r="AO24" s="66">
        <v>4.3249999999999997E-2</v>
      </c>
      <c r="AV24" s="64" t="s">
        <v>43</v>
      </c>
      <c r="AW24" s="64" t="s">
        <v>49</v>
      </c>
      <c r="AX24" s="64">
        <v>1</v>
      </c>
      <c r="AY24" s="64">
        <v>720</v>
      </c>
      <c r="AZ24" s="64" t="str">
        <f t="shared" si="4"/>
        <v>FNFD1720</v>
      </c>
      <c r="BA24" s="64">
        <v>720</v>
      </c>
      <c r="BB24" s="64" t="str">
        <f t="shared" si="5"/>
        <v>FNFD1720</v>
      </c>
      <c r="BF24" s="68">
        <v>0.8</v>
      </c>
      <c r="BG24" s="69">
        <v>0.72499999999999998</v>
      </c>
      <c r="BH24" s="70">
        <v>0.85</v>
      </c>
      <c r="BI24" s="68">
        <v>0.8</v>
      </c>
      <c r="BJ24" s="69">
        <v>0.72499999999999998</v>
      </c>
      <c r="BK24" s="70">
        <v>0.85</v>
      </c>
      <c r="BL24" s="68">
        <v>0.8</v>
      </c>
      <c r="BM24" s="69">
        <v>0.72499999999999998</v>
      </c>
      <c r="BN24" s="70">
        <v>0.82499999999999996</v>
      </c>
      <c r="BO24" s="68">
        <v>0.75</v>
      </c>
      <c r="BP24" s="69">
        <v>0.75</v>
      </c>
      <c r="BQ24" s="70">
        <v>0.82499999999999996</v>
      </c>
      <c r="BR24" s="68">
        <v>0.75</v>
      </c>
      <c r="BS24" s="69">
        <v>0.75</v>
      </c>
      <c r="BT24" s="70">
        <v>0.82499999999999996</v>
      </c>
      <c r="BU24" s="68">
        <v>0.7</v>
      </c>
      <c r="BV24" s="69">
        <v>0.67499999999999993</v>
      </c>
      <c r="BW24" s="70">
        <v>0.74999999999999989</v>
      </c>
      <c r="BZ24" s="71">
        <v>2.5000000000000001E-2</v>
      </c>
    </row>
    <row r="25" spans="3:78" ht="16.5" thickBot="1">
      <c r="C25" s="57" t="s">
        <v>43</v>
      </c>
      <c r="D25" s="57" t="s">
        <v>44</v>
      </c>
      <c r="E25" s="58">
        <v>7</v>
      </c>
      <c r="F25" s="58" t="str">
        <f t="shared" si="0"/>
        <v>FNFA7</v>
      </c>
      <c r="G25" s="58">
        <v>680</v>
      </c>
      <c r="H25" s="58" t="str">
        <f t="shared" si="6"/>
        <v>FNFA76801</v>
      </c>
      <c r="I25" s="58">
        <v>1</v>
      </c>
      <c r="J25" s="59">
        <v>150000</v>
      </c>
      <c r="K25" s="59">
        <v>999999</v>
      </c>
      <c r="L25" s="72">
        <f>+IFERROR(BF25+'[1]Master Sizer Inputs'!$T$29,"N/A")</f>
        <v>0.8</v>
      </c>
      <c r="M25" s="73">
        <f>+IFERROR(BG25+'[1]Master Sizer Inputs'!$T$29,"N/A")</f>
        <v>0.75</v>
      </c>
      <c r="N25" s="74">
        <f>+IFERROR(BH25+'[1]Master Sizer Inputs'!$T$29,"N/A")</f>
        <v>0.85</v>
      </c>
      <c r="O25" s="72">
        <f>+IFERROR(BI25+'[1]Master Sizer Inputs'!$T$29,"N/A")</f>
        <v>0.8</v>
      </c>
      <c r="P25" s="73">
        <f>+IFERROR(BJ25+'[1]Master Sizer Inputs'!$T$29,"N/A")</f>
        <v>0.75</v>
      </c>
      <c r="Q25" s="74">
        <f>+IFERROR(BK25+'[1]Master Sizer Inputs'!$T$29,"N/A")</f>
        <v>0.85</v>
      </c>
      <c r="R25" s="72">
        <f>+IFERROR(BL25+'[1]Master Sizer Inputs'!$T$29,"N/A")</f>
        <v>0.8</v>
      </c>
      <c r="S25" s="73">
        <f>+IFERROR(BM25+'[1]Master Sizer Inputs'!$T$29,"N/A")</f>
        <v>0.75</v>
      </c>
      <c r="T25" s="74">
        <f>+IFERROR(BN25+'[1]Master Sizer Inputs'!$T$29,"N/A")</f>
        <v>0.82499999999999996</v>
      </c>
      <c r="U25" s="72">
        <f>+IFERROR(BO25+'[1]Master Sizer Inputs'!$T$29,"N/A")</f>
        <v>0.75</v>
      </c>
      <c r="V25" s="73">
        <f>+IFERROR(BP25+'[1]Master Sizer Inputs'!$T$29,"N/A")</f>
        <v>0.75</v>
      </c>
      <c r="W25" s="74">
        <f>+IFERROR(BQ25+'[1]Master Sizer Inputs'!$T$29,"N/A")</f>
        <v>0.82499999999999996</v>
      </c>
      <c r="X25" s="72">
        <f>+IFERROR(BR25+'[1]Master Sizer Inputs'!$T$29,"N/A")</f>
        <v>0.75</v>
      </c>
      <c r="Y25" s="73">
        <f>+IFERROR(BS25+'[1]Master Sizer Inputs'!$T$29,"N/A")</f>
        <v>0.75</v>
      </c>
      <c r="Z25" s="74">
        <f>+IFERROR(BT25+'[1]Master Sizer Inputs'!$T$29,"N/A")</f>
        <v>0.82499999999999996</v>
      </c>
      <c r="AA25" s="72">
        <f>+IFERROR(BU25+'[1]Master Sizer Inputs'!$T$29,"N/A")</f>
        <v>0.7</v>
      </c>
      <c r="AB25" s="72">
        <f>+IFERROR(BV25+'[1]Master Sizer Inputs'!$T$29,"N/A")</f>
        <v>0.7</v>
      </c>
      <c r="AC25" s="74">
        <f>+IFERROR(BW25+'[1]Master Sizer Inputs'!$T$29,"N/A")</f>
        <v>0.74999999999999989</v>
      </c>
      <c r="AD25" s="63">
        <f t="shared" si="1"/>
        <v>0</v>
      </c>
      <c r="AE25" s="63">
        <v>7.4999999999999997E-3</v>
      </c>
      <c r="AF25" s="63">
        <f t="shared" si="7"/>
        <v>9.0290000000000009E-2</v>
      </c>
      <c r="AG25" s="63">
        <f>$AO$26+(3*$AO$32)</f>
        <v>9.0290000000000009E-2</v>
      </c>
      <c r="AH25" s="63">
        <f t="shared" si="2"/>
        <v>9.079000000000001E-2</v>
      </c>
      <c r="AI25" s="63">
        <f>$AO$26+(3*$AO$32)+(1*$AO$30)</f>
        <v>9.079000000000001E-2</v>
      </c>
      <c r="AJ25" s="63">
        <f t="shared" si="3"/>
        <v>9.129000000000001E-2</v>
      </c>
      <c r="AK25" s="63">
        <f>$AO$26+(3*$AO$32)+(2*$AO$30)</f>
        <v>9.129000000000001E-2</v>
      </c>
      <c r="AL25" s="201"/>
      <c r="AN25" s="65" t="s">
        <v>52</v>
      </c>
      <c r="AO25" s="66"/>
      <c r="AV25" s="64" t="s">
        <v>43</v>
      </c>
      <c r="AW25" s="64" t="s">
        <v>49</v>
      </c>
      <c r="AX25" s="64">
        <v>1</v>
      </c>
      <c r="AY25" s="64">
        <v>740</v>
      </c>
      <c r="AZ25" s="64" t="str">
        <f t="shared" si="4"/>
        <v>FNFD1740</v>
      </c>
      <c r="BA25" s="64">
        <v>740</v>
      </c>
      <c r="BB25" s="64" t="str">
        <f t="shared" si="5"/>
        <v>FNFD1740</v>
      </c>
      <c r="BF25" s="72">
        <v>0.8</v>
      </c>
      <c r="BG25" s="73">
        <v>0.75</v>
      </c>
      <c r="BH25" s="74">
        <v>0.85</v>
      </c>
      <c r="BI25" s="72">
        <v>0.8</v>
      </c>
      <c r="BJ25" s="73">
        <v>0.75</v>
      </c>
      <c r="BK25" s="74">
        <v>0.85</v>
      </c>
      <c r="BL25" s="72">
        <v>0.8</v>
      </c>
      <c r="BM25" s="73">
        <v>0.75</v>
      </c>
      <c r="BN25" s="74">
        <v>0.82499999999999996</v>
      </c>
      <c r="BO25" s="72">
        <v>0.75</v>
      </c>
      <c r="BP25" s="73">
        <v>0.75</v>
      </c>
      <c r="BQ25" s="74">
        <v>0.82499999999999996</v>
      </c>
      <c r="BR25" s="72">
        <v>0.75</v>
      </c>
      <c r="BS25" s="73">
        <v>0.75</v>
      </c>
      <c r="BT25" s="74">
        <v>0.82499999999999996</v>
      </c>
      <c r="BU25" s="72">
        <v>0.7</v>
      </c>
      <c r="BV25" s="73">
        <v>0.7</v>
      </c>
      <c r="BW25" s="74">
        <v>0.74999999999999989</v>
      </c>
    </row>
    <row r="26" spans="3:78">
      <c r="C26" s="24" t="s">
        <v>43</v>
      </c>
      <c r="D26" s="24" t="s">
        <v>47</v>
      </c>
      <c r="E26" s="25">
        <v>5</v>
      </c>
      <c r="F26" s="25" t="str">
        <f t="shared" si="0"/>
        <v>FNFB5</v>
      </c>
      <c r="G26" s="25">
        <v>740</v>
      </c>
      <c r="H26" s="25" t="str">
        <f t="shared" si="6"/>
        <v>FNFB57404</v>
      </c>
      <c r="I26" s="25">
        <v>4</v>
      </c>
      <c r="J26" s="26">
        <v>3500000</v>
      </c>
      <c r="K26" s="26">
        <v>4999999</v>
      </c>
      <c r="L26" s="75">
        <f>+IFERROR(BF26+'[1]Master Sizer Inputs'!$T$29,"N/A")</f>
        <v>0.8</v>
      </c>
      <c r="M26" s="76">
        <f>+IFERROR(BG26+'[1]Master Sizer Inputs'!$T$29,"N/A")</f>
        <v>0.75</v>
      </c>
      <c r="N26" s="77">
        <f>+IFERROR(BH26+'[1]Master Sizer Inputs'!$T$29,"N/A")</f>
        <v>0.82499999999999996</v>
      </c>
      <c r="O26" s="75">
        <f>+IFERROR(BI26+'[1]Master Sizer Inputs'!$T$29,"N/A")</f>
        <v>0.8</v>
      </c>
      <c r="P26" s="76">
        <f>+IFERROR(BJ26+'[1]Master Sizer Inputs'!$T$29,"N/A")</f>
        <v>0.75</v>
      </c>
      <c r="Q26" s="77">
        <f>+IFERROR(BK26+'[1]Master Sizer Inputs'!$T$29,"N/A")</f>
        <v>0.82499999999999996</v>
      </c>
      <c r="R26" s="75">
        <f>+IFERROR(BL26+'[1]Master Sizer Inputs'!$T$29,"N/A")</f>
        <v>0.8</v>
      </c>
      <c r="S26" s="76">
        <f>+IFERROR(BM26+'[1]Master Sizer Inputs'!$T$29,"N/A")</f>
        <v>0.75</v>
      </c>
      <c r="T26" s="77">
        <f>+IFERROR(BN26+'[1]Master Sizer Inputs'!$T$29,"N/A")</f>
        <v>0.82499999999999996</v>
      </c>
      <c r="U26" s="75">
        <f>+IFERROR(BO26+'[1]Master Sizer Inputs'!$T$29,"N/A")</f>
        <v>0.72499999999999998</v>
      </c>
      <c r="V26" s="76">
        <f>+IFERROR(BP26+'[1]Master Sizer Inputs'!$T$29,"N/A")</f>
        <v>0.75</v>
      </c>
      <c r="W26" s="77">
        <f>+IFERROR(BQ26+'[1]Master Sizer Inputs'!$T$29,"N/A")</f>
        <v>0.82499999999999996</v>
      </c>
      <c r="X26" s="75">
        <f>+IFERROR(BR26+'[1]Master Sizer Inputs'!$T$29,"N/A")</f>
        <v>0.72499999999999998</v>
      </c>
      <c r="Y26" s="76">
        <f>+IFERROR(BS26+'[1]Master Sizer Inputs'!$T$29,"N/A")</f>
        <v>0.75</v>
      </c>
      <c r="Z26" s="77">
        <f>+IFERROR(BT26+'[1]Master Sizer Inputs'!$T$29,"N/A")</f>
        <v>0.82499999999999996</v>
      </c>
      <c r="AA26" s="75">
        <f>+IFERROR(BU26+'[1]Master Sizer Inputs'!$T$29,"N/A")</f>
        <v>0.7</v>
      </c>
      <c r="AB26" s="75">
        <f>+IFERROR(BV26+'[1]Master Sizer Inputs'!$T$29,"N/A")</f>
        <v>0.67499999999999993</v>
      </c>
      <c r="AC26" s="77">
        <f>+IFERROR(BW26+'[1]Master Sizer Inputs'!$T$29,"N/A")</f>
        <v>0.74999999999999989</v>
      </c>
      <c r="AD26" s="30">
        <f t="shared" si="1"/>
        <v>0</v>
      </c>
      <c r="AE26" s="30">
        <v>7.4999999999999997E-3</v>
      </c>
      <c r="AF26" s="30">
        <f t="shared" si="7"/>
        <v>9.6540000000000015E-2</v>
      </c>
      <c r="AG26" s="30">
        <f>$AO$26+(4*$AO$32)+(2*$AO$31)</f>
        <v>9.6540000000000015E-2</v>
      </c>
      <c r="AH26" s="30">
        <f t="shared" si="2"/>
        <v>9.7040000000000015E-2</v>
      </c>
      <c r="AI26" s="30">
        <f>$AO$26+(4*$AO$32)+(2*$AO$31)+(1*$AO$30)</f>
        <v>9.7040000000000015E-2</v>
      </c>
      <c r="AJ26" s="30">
        <f t="shared" si="3"/>
        <v>9.7540000000000016E-2</v>
      </c>
      <c r="AK26" s="30">
        <f>$AO$26+(4*$AO$32)+(2*$AO$31)+(2*$AO$30)</f>
        <v>9.7540000000000016E-2</v>
      </c>
      <c r="AL26" s="201"/>
      <c r="AN26" s="65" t="s">
        <v>53</v>
      </c>
      <c r="AO26" s="66">
        <f>+AO23+AO24+AO25</f>
        <v>8.6540000000000006E-2</v>
      </c>
      <c r="AV26" s="78" t="s">
        <v>54</v>
      </c>
      <c r="AW26" s="78" t="s">
        <v>44</v>
      </c>
      <c r="AX26" s="78">
        <v>7</v>
      </c>
      <c r="AY26" s="78">
        <v>680</v>
      </c>
      <c r="AZ26" s="78" t="str">
        <f t="shared" si="4"/>
        <v>GUPA7680</v>
      </c>
      <c r="BA26" s="78">
        <v>0</v>
      </c>
      <c r="BB26" s="78" t="str">
        <f t="shared" si="5"/>
        <v>GUPA70</v>
      </c>
      <c r="BF26" s="75">
        <v>0.8</v>
      </c>
      <c r="BG26" s="76">
        <v>0.75</v>
      </c>
      <c r="BH26" s="77">
        <v>0.82499999999999996</v>
      </c>
      <c r="BI26" s="75">
        <v>0.8</v>
      </c>
      <c r="BJ26" s="76">
        <v>0.75</v>
      </c>
      <c r="BK26" s="77">
        <v>0.82499999999999996</v>
      </c>
      <c r="BL26" s="75">
        <v>0.8</v>
      </c>
      <c r="BM26" s="76">
        <v>0.75</v>
      </c>
      <c r="BN26" s="77">
        <v>0.82499999999999996</v>
      </c>
      <c r="BO26" s="75">
        <v>0.72499999999999998</v>
      </c>
      <c r="BP26" s="76">
        <v>0.75</v>
      </c>
      <c r="BQ26" s="77">
        <v>0.82499999999999996</v>
      </c>
      <c r="BR26" s="75">
        <v>0.72499999999999998</v>
      </c>
      <c r="BS26" s="76">
        <v>0.75</v>
      </c>
      <c r="BT26" s="77">
        <v>0.82499999999999996</v>
      </c>
      <c r="BU26" s="75">
        <v>0.7</v>
      </c>
      <c r="BV26" s="76">
        <v>0.67499999999999993</v>
      </c>
      <c r="BW26" s="77">
        <v>0.74999999999999989</v>
      </c>
    </row>
    <row r="27" spans="3:78">
      <c r="C27" s="24" t="s">
        <v>43</v>
      </c>
      <c r="D27" s="24" t="s">
        <v>47</v>
      </c>
      <c r="E27" s="25">
        <v>5</v>
      </c>
      <c r="F27" s="25" t="str">
        <f t="shared" si="0"/>
        <v>FNFB5</v>
      </c>
      <c r="G27" s="25">
        <v>740</v>
      </c>
      <c r="H27" s="25" t="str">
        <f t="shared" si="6"/>
        <v>FNFB57403</v>
      </c>
      <c r="I27" s="25">
        <v>3</v>
      </c>
      <c r="J27" s="26">
        <v>2000000</v>
      </c>
      <c r="K27" s="26">
        <v>3499999</v>
      </c>
      <c r="L27" s="75">
        <f>+IFERROR(BF27+'[1]Master Sizer Inputs'!$T$29,"N/A")</f>
        <v>0.82499999999999996</v>
      </c>
      <c r="M27" s="76">
        <f>+IFERROR(BG27+'[1]Master Sizer Inputs'!$T$29,"N/A")</f>
        <v>0.77500000000000002</v>
      </c>
      <c r="N27" s="77">
        <f>+IFERROR(BH27+'[1]Master Sizer Inputs'!$T$29,"N/A")</f>
        <v>0.875</v>
      </c>
      <c r="O27" s="75">
        <f>+IFERROR(BI27+'[1]Master Sizer Inputs'!$T$29,"N/A")</f>
        <v>0.82499999999999996</v>
      </c>
      <c r="P27" s="76">
        <f>+IFERROR(BJ27+'[1]Master Sizer Inputs'!$T$29,"N/A")</f>
        <v>0.77500000000000002</v>
      </c>
      <c r="Q27" s="77">
        <f>+IFERROR(BK27+'[1]Master Sizer Inputs'!$T$29,"N/A")</f>
        <v>0.875</v>
      </c>
      <c r="R27" s="75">
        <f>+IFERROR(BL27+'[1]Master Sizer Inputs'!$T$29,"N/A")</f>
        <v>0.8</v>
      </c>
      <c r="S27" s="76">
        <f>+IFERROR(BM27+'[1]Master Sizer Inputs'!$T$29,"N/A")</f>
        <v>0.77500000000000002</v>
      </c>
      <c r="T27" s="77">
        <f>+IFERROR(BN27+'[1]Master Sizer Inputs'!$T$29,"N/A")</f>
        <v>0.85</v>
      </c>
      <c r="U27" s="75">
        <f>+IFERROR(BO27+'[1]Master Sizer Inputs'!$T$29,"N/A")</f>
        <v>0.75</v>
      </c>
      <c r="V27" s="76">
        <f>+IFERROR(BP27+'[1]Master Sizer Inputs'!$T$29,"N/A")</f>
        <v>0.75</v>
      </c>
      <c r="W27" s="77">
        <f>+IFERROR(BQ27+'[1]Master Sizer Inputs'!$T$29,"N/A")</f>
        <v>0.85</v>
      </c>
      <c r="X27" s="75">
        <f>+IFERROR(BR27+'[1]Master Sizer Inputs'!$T$29,"N/A")</f>
        <v>0.75</v>
      </c>
      <c r="Y27" s="76">
        <f>+IFERROR(BS27+'[1]Master Sizer Inputs'!$T$29,"N/A")</f>
        <v>0.75</v>
      </c>
      <c r="Z27" s="77">
        <f>+IFERROR(BT27+'[1]Master Sizer Inputs'!$T$29,"N/A")</f>
        <v>0.85</v>
      </c>
      <c r="AA27" s="75">
        <f>+IFERROR(BU27+'[1]Master Sizer Inputs'!$T$29,"N/A")</f>
        <v>0.7</v>
      </c>
      <c r="AB27" s="75">
        <f>+IFERROR(BV27+'[1]Master Sizer Inputs'!$T$29,"N/A")</f>
        <v>0.7</v>
      </c>
      <c r="AC27" s="77">
        <f>+IFERROR(BW27+'[1]Master Sizer Inputs'!$T$29,"N/A")</f>
        <v>0.77499999999999991</v>
      </c>
      <c r="AD27" s="30">
        <f t="shared" si="1"/>
        <v>0</v>
      </c>
      <c r="AE27" s="30">
        <v>7.4999999999999997E-3</v>
      </c>
      <c r="AF27" s="30">
        <f t="shared" si="7"/>
        <v>9.4040000000000012E-2</v>
      </c>
      <c r="AG27" s="30">
        <f>$AO$26+(4*$AO$32)+(1*$AO$31)</f>
        <v>9.4040000000000012E-2</v>
      </c>
      <c r="AH27" s="30">
        <f t="shared" si="2"/>
        <v>9.4540000000000013E-2</v>
      </c>
      <c r="AI27" s="30">
        <f>$AO$26+(4*$AO$32)+(1*$AO$31)+(1*$AO$30)</f>
        <v>9.4540000000000013E-2</v>
      </c>
      <c r="AJ27" s="30">
        <f t="shared" si="3"/>
        <v>9.5040000000000013E-2</v>
      </c>
      <c r="AK27" s="30">
        <f>$AO$26+(4*$AO$32)+(1*$AO$31)+(2*$AO$30)</f>
        <v>9.5040000000000013E-2</v>
      </c>
      <c r="AL27" s="201"/>
      <c r="AV27" s="78" t="s">
        <v>54</v>
      </c>
      <c r="AW27" s="78" t="s">
        <v>44</v>
      </c>
      <c r="AX27" s="78">
        <v>7</v>
      </c>
      <c r="AY27" s="78">
        <v>700</v>
      </c>
      <c r="AZ27" s="78" t="str">
        <f t="shared" si="4"/>
        <v>GUPA7700</v>
      </c>
      <c r="BA27" s="78">
        <v>700</v>
      </c>
      <c r="BB27" s="78" t="str">
        <f t="shared" si="5"/>
        <v>GUPA7700</v>
      </c>
      <c r="BF27" s="75">
        <v>0.82499999999999996</v>
      </c>
      <c r="BG27" s="76">
        <v>0.77500000000000002</v>
      </c>
      <c r="BH27" s="77">
        <v>0.875</v>
      </c>
      <c r="BI27" s="75">
        <v>0.82499999999999996</v>
      </c>
      <c r="BJ27" s="76">
        <v>0.77500000000000002</v>
      </c>
      <c r="BK27" s="77">
        <v>0.875</v>
      </c>
      <c r="BL27" s="75">
        <v>0.8</v>
      </c>
      <c r="BM27" s="76">
        <v>0.77500000000000002</v>
      </c>
      <c r="BN27" s="77">
        <v>0.85</v>
      </c>
      <c r="BO27" s="75">
        <v>0.75</v>
      </c>
      <c r="BP27" s="76">
        <v>0.75</v>
      </c>
      <c r="BQ27" s="77">
        <v>0.85</v>
      </c>
      <c r="BR27" s="75">
        <v>0.75</v>
      </c>
      <c r="BS27" s="76">
        <v>0.75</v>
      </c>
      <c r="BT27" s="77">
        <v>0.85</v>
      </c>
      <c r="BU27" s="75">
        <v>0.7</v>
      </c>
      <c r="BV27" s="76">
        <v>0.7</v>
      </c>
      <c r="BW27" s="77">
        <v>0.77499999999999991</v>
      </c>
    </row>
    <row r="28" spans="3:78">
      <c r="C28" s="24" t="s">
        <v>43</v>
      </c>
      <c r="D28" s="24" t="s">
        <v>47</v>
      </c>
      <c r="E28" s="25">
        <v>5</v>
      </c>
      <c r="F28" s="25" t="str">
        <f t="shared" si="0"/>
        <v>FNFB5</v>
      </c>
      <c r="G28" s="25">
        <v>740</v>
      </c>
      <c r="H28" s="25" t="str">
        <f t="shared" si="6"/>
        <v>FNFB57402</v>
      </c>
      <c r="I28" s="25">
        <v>2</v>
      </c>
      <c r="J28" s="26">
        <v>1000000</v>
      </c>
      <c r="K28" s="26">
        <v>1999999</v>
      </c>
      <c r="L28" s="27">
        <f>+IFERROR(BF28+'[1]Master Sizer Inputs'!$T$29,"N/A")</f>
        <v>0.82500000000000007</v>
      </c>
      <c r="M28" s="28">
        <f>+IFERROR(BG28+'[1]Master Sizer Inputs'!$T$29,"N/A")</f>
        <v>0.77500000000000002</v>
      </c>
      <c r="N28" s="29">
        <f>+IFERROR(BH28+'[1]Master Sizer Inputs'!$T$29,"N/A")</f>
        <v>0.875</v>
      </c>
      <c r="O28" s="27">
        <f>+IFERROR(BI28+'[1]Master Sizer Inputs'!$T$29,"N/A")</f>
        <v>0.82500000000000007</v>
      </c>
      <c r="P28" s="28">
        <f>+IFERROR(BJ28+'[1]Master Sizer Inputs'!$T$29,"N/A")</f>
        <v>0.77500000000000002</v>
      </c>
      <c r="Q28" s="29">
        <f>+IFERROR(BK28+'[1]Master Sizer Inputs'!$T$29,"N/A")</f>
        <v>0.875</v>
      </c>
      <c r="R28" s="27">
        <f>+IFERROR(BL28+'[1]Master Sizer Inputs'!$T$29,"N/A")</f>
        <v>0.82500000000000007</v>
      </c>
      <c r="S28" s="28">
        <f>+IFERROR(BM28+'[1]Master Sizer Inputs'!$T$29,"N/A")</f>
        <v>0.77500000000000002</v>
      </c>
      <c r="T28" s="29">
        <f>+IFERROR(BN28+'[1]Master Sizer Inputs'!$T$29,"N/A")</f>
        <v>0.85</v>
      </c>
      <c r="U28" s="27">
        <f>+IFERROR(BO28+'[1]Master Sizer Inputs'!$T$29,"N/A")</f>
        <v>0.77500000000000002</v>
      </c>
      <c r="V28" s="28">
        <f>+IFERROR(BP28+'[1]Master Sizer Inputs'!$T$29,"N/A")</f>
        <v>0.77500000000000002</v>
      </c>
      <c r="W28" s="29">
        <f>+IFERROR(BQ28+'[1]Master Sizer Inputs'!$T$29,"N/A")</f>
        <v>0.85</v>
      </c>
      <c r="X28" s="27">
        <f>+IFERROR(BR28+'[1]Master Sizer Inputs'!$T$29,"N/A")</f>
        <v>0.77500000000000002</v>
      </c>
      <c r="Y28" s="28">
        <f>+IFERROR(BS28+'[1]Master Sizer Inputs'!$T$29,"N/A")</f>
        <v>0.77500000000000002</v>
      </c>
      <c r="Z28" s="29">
        <f>+IFERROR(BT28+'[1]Master Sizer Inputs'!$T$29,"N/A")</f>
        <v>0.85</v>
      </c>
      <c r="AA28" s="27">
        <f>+IFERROR(BU28+'[1]Master Sizer Inputs'!$T$29,"N/A")</f>
        <v>0.72499999999999998</v>
      </c>
      <c r="AB28" s="27">
        <f>+IFERROR(BV28+'[1]Master Sizer Inputs'!$T$29,"N/A")</f>
        <v>0.72499999999999998</v>
      </c>
      <c r="AC28" s="29">
        <f>+IFERROR(BW28+'[1]Master Sizer Inputs'!$T$29,"N/A")</f>
        <v>0.77499999999999991</v>
      </c>
      <c r="AD28" s="30">
        <f t="shared" si="1"/>
        <v>0</v>
      </c>
      <c r="AE28" s="30">
        <v>7.4999999999999997E-3</v>
      </c>
      <c r="AF28" s="30">
        <f t="shared" si="7"/>
        <v>9.154000000000001E-2</v>
      </c>
      <c r="AG28" s="30">
        <f>$AO$26+(4*$AO$32)</f>
        <v>9.154000000000001E-2</v>
      </c>
      <c r="AH28" s="30">
        <f t="shared" si="2"/>
        <v>9.2040000000000011E-2</v>
      </c>
      <c r="AI28" s="30">
        <f>$AO$26+(4*$AO$32)+(0*$AO$31)+(1*$AO$30)</f>
        <v>9.2040000000000011E-2</v>
      </c>
      <c r="AJ28" s="30">
        <f t="shared" si="3"/>
        <v>9.2540000000000011E-2</v>
      </c>
      <c r="AK28" s="30">
        <f>$AO$26+(4*$AO$32)+(0*$AO$31)+(2*$AO$30)</f>
        <v>9.2540000000000011E-2</v>
      </c>
      <c r="AL28" s="202">
        <v>1.25E-3</v>
      </c>
      <c r="AM28" s="79"/>
      <c r="AV28" s="78" t="s">
        <v>54</v>
      </c>
      <c r="AW28" s="78" t="s">
        <v>44</v>
      </c>
      <c r="AX28" s="78">
        <v>7</v>
      </c>
      <c r="AY28" s="78">
        <v>720</v>
      </c>
      <c r="AZ28" s="78" t="str">
        <f t="shared" si="4"/>
        <v>GUPA7720</v>
      </c>
      <c r="BA28" s="78">
        <v>700</v>
      </c>
      <c r="BB28" s="78" t="str">
        <f t="shared" si="5"/>
        <v>GUPA7700</v>
      </c>
      <c r="BF28" s="27">
        <v>0.82500000000000007</v>
      </c>
      <c r="BG28" s="28">
        <v>0.77500000000000002</v>
      </c>
      <c r="BH28" s="29">
        <v>0.875</v>
      </c>
      <c r="BI28" s="27">
        <v>0.82500000000000007</v>
      </c>
      <c r="BJ28" s="28">
        <v>0.77500000000000002</v>
      </c>
      <c r="BK28" s="29">
        <v>0.875</v>
      </c>
      <c r="BL28" s="27">
        <v>0.82500000000000007</v>
      </c>
      <c r="BM28" s="28">
        <v>0.77500000000000002</v>
      </c>
      <c r="BN28" s="29">
        <v>0.85</v>
      </c>
      <c r="BO28" s="27">
        <v>0.77500000000000002</v>
      </c>
      <c r="BP28" s="28">
        <v>0.77500000000000002</v>
      </c>
      <c r="BQ28" s="29">
        <v>0.85</v>
      </c>
      <c r="BR28" s="27">
        <v>0.77500000000000002</v>
      </c>
      <c r="BS28" s="28">
        <v>0.77500000000000002</v>
      </c>
      <c r="BT28" s="29">
        <v>0.85</v>
      </c>
      <c r="BU28" s="27">
        <v>0.72499999999999998</v>
      </c>
      <c r="BV28" s="28">
        <v>0.72499999999999998</v>
      </c>
      <c r="BW28" s="29">
        <v>0.77499999999999991</v>
      </c>
    </row>
    <row r="29" spans="3:78" ht="16.5" thickBot="1">
      <c r="C29" s="24" t="s">
        <v>43</v>
      </c>
      <c r="D29" s="24" t="s">
        <v>47</v>
      </c>
      <c r="E29" s="25">
        <v>5</v>
      </c>
      <c r="F29" s="25" t="str">
        <f t="shared" si="0"/>
        <v>FNFB5</v>
      </c>
      <c r="G29" s="25">
        <v>740</v>
      </c>
      <c r="H29" s="25" t="str">
        <f t="shared" si="6"/>
        <v>FNFB57401</v>
      </c>
      <c r="I29" s="25">
        <v>1</v>
      </c>
      <c r="J29" s="26">
        <v>150000</v>
      </c>
      <c r="K29" s="26">
        <v>999999</v>
      </c>
      <c r="L29" s="35">
        <f>+IFERROR(BF29+'[1]Master Sizer Inputs'!$T$29,"N/A")</f>
        <v>0.82500000000000007</v>
      </c>
      <c r="M29" s="36">
        <f>+IFERROR(BG29+'[1]Master Sizer Inputs'!$T$29,"N/A")</f>
        <v>0.77500000000000002</v>
      </c>
      <c r="N29" s="37">
        <f>+IFERROR(BH29+'[1]Master Sizer Inputs'!$T$29,"N/A")</f>
        <v>0.875</v>
      </c>
      <c r="O29" s="35">
        <f>+IFERROR(BI29+'[1]Master Sizer Inputs'!$T$29,"N/A")</f>
        <v>0.82500000000000007</v>
      </c>
      <c r="P29" s="36">
        <f>+IFERROR(BJ29+'[1]Master Sizer Inputs'!$T$29,"N/A")</f>
        <v>0.77500000000000002</v>
      </c>
      <c r="Q29" s="37">
        <f>+IFERROR(BK29+'[1]Master Sizer Inputs'!$T$29,"N/A")</f>
        <v>0.875</v>
      </c>
      <c r="R29" s="35">
        <f>+IFERROR(BL29+'[1]Master Sizer Inputs'!$T$29,"N/A")</f>
        <v>0.82500000000000007</v>
      </c>
      <c r="S29" s="36">
        <f>+IFERROR(BM29+'[1]Master Sizer Inputs'!$T$29,"N/A")</f>
        <v>0.77500000000000002</v>
      </c>
      <c r="T29" s="37">
        <f>+IFERROR(BN29+'[1]Master Sizer Inputs'!$T$29,"N/A")</f>
        <v>0.85</v>
      </c>
      <c r="U29" s="35">
        <f>+IFERROR(BO29+'[1]Master Sizer Inputs'!$T$29,"N/A")</f>
        <v>0.77500000000000002</v>
      </c>
      <c r="V29" s="36">
        <f>+IFERROR(BP29+'[1]Master Sizer Inputs'!$T$29,"N/A")</f>
        <v>0.77500000000000002</v>
      </c>
      <c r="W29" s="37">
        <f>+IFERROR(BQ29+'[1]Master Sizer Inputs'!$T$29,"N/A")</f>
        <v>0.85</v>
      </c>
      <c r="X29" s="35">
        <f>+IFERROR(BR29+'[1]Master Sizer Inputs'!$T$29,"N/A")</f>
        <v>0.77500000000000002</v>
      </c>
      <c r="Y29" s="36">
        <f>+IFERROR(BS29+'[1]Master Sizer Inputs'!$T$29,"N/A")</f>
        <v>0.77500000000000002</v>
      </c>
      <c r="Z29" s="37">
        <f>+IFERROR(BT29+'[1]Master Sizer Inputs'!$T$29,"N/A")</f>
        <v>0.85</v>
      </c>
      <c r="AA29" s="35">
        <f>+IFERROR(BU29+'[1]Master Sizer Inputs'!$T$29,"N/A")</f>
        <v>0.72499999999999998</v>
      </c>
      <c r="AB29" s="35">
        <f>+IFERROR(BV29+'[1]Master Sizer Inputs'!$T$29,"N/A")</f>
        <v>0.72499999999999998</v>
      </c>
      <c r="AC29" s="37">
        <f>+IFERROR(BW29+'[1]Master Sizer Inputs'!$T$29,"N/A")</f>
        <v>0.77499999999999991</v>
      </c>
      <c r="AD29" s="30">
        <f t="shared" si="1"/>
        <v>0</v>
      </c>
      <c r="AE29" s="30">
        <v>7.4999999999999997E-3</v>
      </c>
      <c r="AF29" s="30">
        <f t="shared" si="7"/>
        <v>9.154000000000001E-2</v>
      </c>
      <c r="AG29" s="30">
        <f>$AO$26+(4*$AO$32)</f>
        <v>9.154000000000001E-2</v>
      </c>
      <c r="AH29" s="30">
        <f t="shared" si="2"/>
        <v>9.2040000000000011E-2</v>
      </c>
      <c r="AI29" s="30">
        <f>$AO$26+(4*$AO$32)+(0*$AO$31)+(1*$AO$30)</f>
        <v>9.2040000000000011E-2</v>
      </c>
      <c r="AJ29" s="30">
        <f t="shared" si="3"/>
        <v>9.2540000000000011E-2</v>
      </c>
      <c r="AK29" s="30">
        <f>$AO$26+(4*$AO$32)+(0*$AO$31)+(2*$AO$30)</f>
        <v>9.2540000000000011E-2</v>
      </c>
      <c r="AV29" s="80" t="s">
        <v>54</v>
      </c>
      <c r="AW29" s="80" t="s">
        <v>47</v>
      </c>
      <c r="AX29" s="80">
        <v>5</v>
      </c>
      <c r="AY29" s="80">
        <v>680</v>
      </c>
      <c r="AZ29" s="80" t="str">
        <f t="shared" si="4"/>
        <v>GUPB5680</v>
      </c>
      <c r="BA29" s="80">
        <v>0</v>
      </c>
      <c r="BB29" s="80" t="str">
        <f t="shared" si="5"/>
        <v>GUPB50</v>
      </c>
      <c r="BF29" s="35">
        <v>0.82500000000000007</v>
      </c>
      <c r="BG29" s="36">
        <v>0.77500000000000002</v>
      </c>
      <c r="BH29" s="37">
        <v>0.875</v>
      </c>
      <c r="BI29" s="35">
        <v>0.82500000000000007</v>
      </c>
      <c r="BJ29" s="36">
        <v>0.77500000000000002</v>
      </c>
      <c r="BK29" s="37">
        <v>0.875</v>
      </c>
      <c r="BL29" s="35">
        <v>0.82500000000000007</v>
      </c>
      <c r="BM29" s="36">
        <v>0.77500000000000002</v>
      </c>
      <c r="BN29" s="37">
        <v>0.85</v>
      </c>
      <c r="BO29" s="35">
        <v>0.77500000000000002</v>
      </c>
      <c r="BP29" s="36">
        <v>0.77500000000000002</v>
      </c>
      <c r="BQ29" s="37">
        <v>0.85</v>
      </c>
      <c r="BR29" s="35">
        <v>0.77500000000000002</v>
      </c>
      <c r="BS29" s="36">
        <v>0.77500000000000002</v>
      </c>
      <c r="BT29" s="37">
        <v>0.85</v>
      </c>
      <c r="BU29" s="35">
        <v>0.72499999999999998</v>
      </c>
      <c r="BV29" s="36">
        <v>0.72499999999999998</v>
      </c>
      <c r="BW29" s="37">
        <v>0.77499999999999991</v>
      </c>
    </row>
    <row r="30" spans="3:78">
      <c r="C30" s="110" t="s">
        <v>43</v>
      </c>
      <c r="D30" s="110" t="s">
        <v>47</v>
      </c>
      <c r="E30" s="111">
        <v>5</v>
      </c>
      <c r="F30" s="111" t="str">
        <f t="shared" si="0"/>
        <v>FNFB5</v>
      </c>
      <c r="G30" s="111">
        <v>720</v>
      </c>
      <c r="H30" s="111" t="str">
        <f t="shared" si="6"/>
        <v>FNFB57204</v>
      </c>
      <c r="I30" s="111">
        <v>4</v>
      </c>
      <c r="J30" s="112">
        <v>3500000</v>
      </c>
      <c r="K30" s="112">
        <v>4999999</v>
      </c>
      <c r="L30" s="120">
        <f>+IFERROR(BF30+'[1]Master Sizer Inputs'!$T$29,"N/A")</f>
        <v>0.8</v>
      </c>
      <c r="M30" s="121">
        <f>+IFERROR(BG30+'[1]Master Sizer Inputs'!$T$29,"N/A")</f>
        <v>0.72499999999999998</v>
      </c>
      <c r="N30" s="122">
        <f>+IFERROR(BH30+'[1]Master Sizer Inputs'!$T$29,"N/A")</f>
        <v>0.82499999999999996</v>
      </c>
      <c r="O30" s="120">
        <f>+IFERROR(BI30+'[1]Master Sizer Inputs'!$T$29,"N/A")</f>
        <v>0.8</v>
      </c>
      <c r="P30" s="121">
        <f>+IFERROR(BJ30+'[1]Master Sizer Inputs'!$T$29,"N/A")</f>
        <v>0.72499999999999998</v>
      </c>
      <c r="Q30" s="122">
        <f>+IFERROR(BK30+'[1]Master Sizer Inputs'!$T$29,"N/A")</f>
        <v>0.82499999999999996</v>
      </c>
      <c r="R30" s="120">
        <f>+IFERROR(BL30+'[1]Master Sizer Inputs'!$T$29,"N/A")</f>
        <v>0.8</v>
      </c>
      <c r="S30" s="121">
        <f>+IFERROR(BM30+'[1]Master Sizer Inputs'!$T$29,"N/A")</f>
        <v>0.72499999999999998</v>
      </c>
      <c r="T30" s="122">
        <f>+IFERROR(BN30+'[1]Master Sizer Inputs'!$T$29,"N/A")</f>
        <v>0.82499999999999996</v>
      </c>
      <c r="U30" s="120">
        <f>+IFERROR(BO30+'[1]Master Sizer Inputs'!$T$29,"N/A")</f>
        <v>0.72499999999999998</v>
      </c>
      <c r="V30" s="121">
        <f>+IFERROR(BP30+'[1]Master Sizer Inputs'!$T$29,"N/A")</f>
        <v>0.72499999999999998</v>
      </c>
      <c r="W30" s="122">
        <f>+IFERROR(BQ30+'[1]Master Sizer Inputs'!$T$29,"N/A")</f>
        <v>0.82499999999999996</v>
      </c>
      <c r="X30" s="120">
        <f>+IFERROR(BR30+'[1]Master Sizer Inputs'!$T$29,"N/A")</f>
        <v>0.72499999999999998</v>
      </c>
      <c r="Y30" s="121">
        <f>+IFERROR(BS30+'[1]Master Sizer Inputs'!$T$29,"N/A")</f>
        <v>0.72499999999999998</v>
      </c>
      <c r="Z30" s="122">
        <f>+IFERROR(BT30+'[1]Master Sizer Inputs'!$T$29,"N/A")</f>
        <v>0.82499999999999996</v>
      </c>
      <c r="AA30" s="120">
        <f>+IFERROR(BU30+'[1]Master Sizer Inputs'!$T$29,"N/A")</f>
        <v>0.7</v>
      </c>
      <c r="AB30" s="120">
        <f>+IFERROR(BV30+'[1]Master Sizer Inputs'!$T$29,"N/A")</f>
        <v>0.67499999999999993</v>
      </c>
      <c r="AC30" s="122">
        <f>+IFERROR(BW30+'[1]Master Sizer Inputs'!$T$29,"N/A")</f>
        <v>0.74999999999999989</v>
      </c>
      <c r="AD30" s="116">
        <f t="shared" si="1"/>
        <v>0</v>
      </c>
      <c r="AE30" s="116">
        <v>7.4999999999999997E-3</v>
      </c>
      <c r="AF30" s="116">
        <f t="shared" si="7"/>
        <v>9.7790000000000016E-2</v>
      </c>
      <c r="AG30" s="116">
        <f>$AO$26+(5*$AO$32)+(2*$AO$31)</f>
        <v>9.7790000000000016E-2</v>
      </c>
      <c r="AH30" s="116">
        <f t="shared" si="2"/>
        <v>9.8290000000000016E-2</v>
      </c>
      <c r="AI30" s="116">
        <f>$AO$26+(5*$AO$32)+(2*$AO$31)+(1*$AO$30)</f>
        <v>9.8290000000000016E-2</v>
      </c>
      <c r="AJ30" s="116">
        <f t="shared" si="3"/>
        <v>9.8790000000000017E-2</v>
      </c>
      <c r="AK30" s="198">
        <f>$AO$26+(5*$AO$32)+(2*$AO$31)+(2*$AO$30)</f>
        <v>9.8790000000000017E-2</v>
      </c>
      <c r="AN30" s="65" t="s">
        <v>55</v>
      </c>
      <c r="AO30" s="66">
        <v>5.0000000000000001E-4</v>
      </c>
      <c r="AV30" s="80" t="s">
        <v>54</v>
      </c>
      <c r="AW30" s="80" t="s">
        <v>47</v>
      </c>
      <c r="AX30" s="80">
        <v>5</v>
      </c>
      <c r="AY30" s="80">
        <v>700</v>
      </c>
      <c r="AZ30" s="80" t="str">
        <f t="shared" si="4"/>
        <v>GUPB5700</v>
      </c>
      <c r="BA30" s="80">
        <v>700</v>
      </c>
      <c r="BB30" s="80" t="str">
        <f t="shared" si="5"/>
        <v>GUPB5700</v>
      </c>
      <c r="BF30" s="81">
        <v>0.8</v>
      </c>
      <c r="BG30" s="82">
        <v>0.72499999999999998</v>
      </c>
      <c r="BH30" s="83">
        <v>0.82499999999999996</v>
      </c>
      <c r="BI30" s="81">
        <v>0.8</v>
      </c>
      <c r="BJ30" s="82">
        <v>0.72499999999999998</v>
      </c>
      <c r="BK30" s="83">
        <v>0.82499999999999996</v>
      </c>
      <c r="BL30" s="81">
        <v>0.8</v>
      </c>
      <c r="BM30" s="82">
        <v>0.72499999999999998</v>
      </c>
      <c r="BN30" s="83">
        <v>0.82499999999999996</v>
      </c>
      <c r="BO30" s="81">
        <v>0.72499999999999998</v>
      </c>
      <c r="BP30" s="82">
        <v>0.72499999999999998</v>
      </c>
      <c r="BQ30" s="83">
        <v>0.82499999999999996</v>
      </c>
      <c r="BR30" s="81">
        <v>0.72499999999999998</v>
      </c>
      <c r="BS30" s="82">
        <v>0.72499999999999998</v>
      </c>
      <c r="BT30" s="83">
        <v>0.82499999999999996</v>
      </c>
      <c r="BU30" s="81">
        <v>0.7</v>
      </c>
      <c r="BV30" s="82">
        <v>0.67499999999999993</v>
      </c>
      <c r="BW30" s="83">
        <v>0.74999999999999989</v>
      </c>
    </row>
    <row r="31" spans="3:78">
      <c r="C31" s="110" t="s">
        <v>43</v>
      </c>
      <c r="D31" s="110" t="s">
        <v>47</v>
      </c>
      <c r="E31" s="111">
        <v>5</v>
      </c>
      <c r="F31" s="111" t="str">
        <f t="shared" si="0"/>
        <v>FNFB5</v>
      </c>
      <c r="G31" s="111">
        <v>720</v>
      </c>
      <c r="H31" s="111" t="str">
        <f t="shared" si="6"/>
        <v>FNFB57203</v>
      </c>
      <c r="I31" s="111">
        <v>3</v>
      </c>
      <c r="J31" s="112">
        <v>2000000</v>
      </c>
      <c r="K31" s="112">
        <v>3499999</v>
      </c>
      <c r="L31" s="120">
        <f>+IFERROR(BF31+'[1]Master Sizer Inputs'!$T$29,"N/A")</f>
        <v>0.82499999999999996</v>
      </c>
      <c r="M31" s="121">
        <f>+IFERROR(BG31+'[1]Master Sizer Inputs'!$T$29,"N/A")</f>
        <v>0.75</v>
      </c>
      <c r="N31" s="122">
        <f>+IFERROR(BH31+'[1]Master Sizer Inputs'!$T$29,"N/A")</f>
        <v>0.875</v>
      </c>
      <c r="O31" s="120">
        <f>+IFERROR(BI31+'[1]Master Sizer Inputs'!$T$29,"N/A")</f>
        <v>0.82499999999999996</v>
      </c>
      <c r="P31" s="121">
        <f>+IFERROR(BJ31+'[1]Master Sizer Inputs'!$T$29,"N/A")</f>
        <v>0.75</v>
      </c>
      <c r="Q31" s="122">
        <f>+IFERROR(BK31+'[1]Master Sizer Inputs'!$T$29,"N/A")</f>
        <v>0.875</v>
      </c>
      <c r="R31" s="120">
        <f>+IFERROR(BL31+'[1]Master Sizer Inputs'!$T$29,"N/A")</f>
        <v>0.8</v>
      </c>
      <c r="S31" s="121">
        <f>+IFERROR(BM31+'[1]Master Sizer Inputs'!$T$29,"N/A")</f>
        <v>0.75</v>
      </c>
      <c r="T31" s="122">
        <f>+IFERROR(BN31+'[1]Master Sizer Inputs'!$T$29,"N/A")</f>
        <v>0.85</v>
      </c>
      <c r="U31" s="120">
        <f>+IFERROR(BO31+'[1]Master Sizer Inputs'!$T$29,"N/A")</f>
        <v>0.75</v>
      </c>
      <c r="V31" s="121">
        <f>+IFERROR(BP31+'[1]Master Sizer Inputs'!$T$29,"N/A")</f>
        <v>0.75</v>
      </c>
      <c r="W31" s="122">
        <f>+IFERROR(BQ31+'[1]Master Sizer Inputs'!$T$29,"N/A")</f>
        <v>0.85</v>
      </c>
      <c r="X31" s="120">
        <f>+IFERROR(BR31+'[1]Master Sizer Inputs'!$T$29,"N/A")</f>
        <v>0.75</v>
      </c>
      <c r="Y31" s="121">
        <f>+IFERROR(BS31+'[1]Master Sizer Inputs'!$T$29,"N/A")</f>
        <v>0.75</v>
      </c>
      <c r="Z31" s="122">
        <f>+IFERROR(BT31+'[1]Master Sizer Inputs'!$T$29,"N/A")</f>
        <v>0.85</v>
      </c>
      <c r="AA31" s="120">
        <f>+IFERROR(BU31+'[1]Master Sizer Inputs'!$T$29,"N/A")</f>
        <v>0.7</v>
      </c>
      <c r="AB31" s="120">
        <f>+IFERROR(BV31+'[1]Master Sizer Inputs'!$T$29,"N/A")</f>
        <v>0.7</v>
      </c>
      <c r="AC31" s="122">
        <f>+IFERROR(BW31+'[1]Master Sizer Inputs'!$T$29,"N/A")</f>
        <v>0.77499999999999991</v>
      </c>
      <c r="AD31" s="116">
        <f t="shared" si="1"/>
        <v>0</v>
      </c>
      <c r="AE31" s="116">
        <v>7.4999999999999997E-3</v>
      </c>
      <c r="AF31" s="116">
        <f t="shared" si="7"/>
        <v>9.5290000000000014E-2</v>
      </c>
      <c r="AG31" s="116">
        <f>$AO$26+(5*$AO$32)+(1*$AO$31)</f>
        <v>9.5290000000000014E-2</v>
      </c>
      <c r="AH31" s="116">
        <f t="shared" si="2"/>
        <v>9.5790000000000014E-2</v>
      </c>
      <c r="AI31" s="116">
        <f>$AO$26+(5*$AO$32)+(1*$AO$31)+(1*$AO$30)</f>
        <v>9.5790000000000014E-2</v>
      </c>
      <c r="AJ31" s="116">
        <f t="shared" si="3"/>
        <v>9.6290000000000014E-2</v>
      </c>
      <c r="AK31" s="198">
        <f>$AO$26+(5*$AO$32)+(1*$AO$31)+(2*$AO$30)</f>
        <v>9.6290000000000014E-2</v>
      </c>
      <c r="AN31" s="65" t="s">
        <v>56</v>
      </c>
      <c r="AO31" s="66">
        <v>2.5000000000000022E-3</v>
      </c>
      <c r="AV31" s="80" t="s">
        <v>54</v>
      </c>
      <c r="AW31" s="80" t="s">
        <v>47</v>
      </c>
      <c r="AX31" s="80">
        <v>5</v>
      </c>
      <c r="AY31" s="80">
        <v>720</v>
      </c>
      <c r="AZ31" s="80" t="str">
        <f t="shared" si="4"/>
        <v>GUPB5720</v>
      </c>
      <c r="BA31" s="80">
        <v>700</v>
      </c>
      <c r="BB31" s="80" t="str">
        <f t="shared" si="5"/>
        <v>GUPB5700</v>
      </c>
      <c r="BF31" s="81">
        <v>0.82499999999999996</v>
      </c>
      <c r="BG31" s="82">
        <v>0.75</v>
      </c>
      <c r="BH31" s="83">
        <v>0.875</v>
      </c>
      <c r="BI31" s="81">
        <v>0.82499999999999996</v>
      </c>
      <c r="BJ31" s="82">
        <v>0.75</v>
      </c>
      <c r="BK31" s="83">
        <v>0.875</v>
      </c>
      <c r="BL31" s="81">
        <v>0.8</v>
      </c>
      <c r="BM31" s="82">
        <v>0.75</v>
      </c>
      <c r="BN31" s="83">
        <v>0.85</v>
      </c>
      <c r="BO31" s="81">
        <v>0.75</v>
      </c>
      <c r="BP31" s="82">
        <v>0.75</v>
      </c>
      <c r="BQ31" s="83">
        <v>0.85</v>
      </c>
      <c r="BR31" s="81">
        <v>0.75</v>
      </c>
      <c r="BS31" s="82">
        <v>0.75</v>
      </c>
      <c r="BT31" s="83">
        <v>0.85</v>
      </c>
      <c r="BU31" s="81">
        <v>0.7</v>
      </c>
      <c r="BV31" s="82">
        <v>0.7</v>
      </c>
      <c r="BW31" s="83">
        <v>0.77499999999999991</v>
      </c>
    </row>
    <row r="32" spans="3:78">
      <c r="C32" s="110" t="s">
        <v>43</v>
      </c>
      <c r="D32" s="110" t="s">
        <v>47</v>
      </c>
      <c r="E32" s="111">
        <v>5</v>
      </c>
      <c r="F32" s="111" t="str">
        <f t="shared" si="0"/>
        <v>FNFB5</v>
      </c>
      <c r="G32" s="111">
        <v>720</v>
      </c>
      <c r="H32" s="111" t="str">
        <f t="shared" si="6"/>
        <v>FNFB57202</v>
      </c>
      <c r="I32" s="111">
        <v>2</v>
      </c>
      <c r="J32" s="112">
        <v>1000000</v>
      </c>
      <c r="K32" s="112">
        <v>1999999</v>
      </c>
      <c r="L32" s="120">
        <f>+IFERROR(BF32+'[1]Master Sizer Inputs'!$T$29,"N/A")</f>
        <v>0.82500000000000007</v>
      </c>
      <c r="M32" s="114">
        <f>+IFERROR(BG32+'[1]Master Sizer Inputs'!$T$29,"N/A")</f>
        <v>0.75</v>
      </c>
      <c r="N32" s="115">
        <f>+IFERROR(BH32+'[1]Master Sizer Inputs'!$T$29,"N/A")</f>
        <v>0.875</v>
      </c>
      <c r="O32" s="113">
        <f>+IFERROR(BI32+'[1]Master Sizer Inputs'!$T$29,"N/A")</f>
        <v>0.82500000000000007</v>
      </c>
      <c r="P32" s="114">
        <f>+IFERROR(BJ32+'[1]Master Sizer Inputs'!$T$29,"N/A")</f>
        <v>0.75</v>
      </c>
      <c r="Q32" s="115">
        <f>+IFERROR(BK32+'[1]Master Sizer Inputs'!$T$29,"N/A")</f>
        <v>0.875</v>
      </c>
      <c r="R32" s="113">
        <f>+IFERROR(BL32+'[1]Master Sizer Inputs'!$T$29,"N/A")</f>
        <v>0.82500000000000007</v>
      </c>
      <c r="S32" s="114">
        <f>+IFERROR(BM32+'[1]Master Sizer Inputs'!$T$29,"N/A")</f>
        <v>0.75</v>
      </c>
      <c r="T32" s="115">
        <f>+IFERROR(BN32+'[1]Master Sizer Inputs'!$T$29,"N/A")</f>
        <v>0.85</v>
      </c>
      <c r="U32" s="113">
        <f>+IFERROR(BO32+'[1]Master Sizer Inputs'!$T$29,"N/A")</f>
        <v>0.77500000000000002</v>
      </c>
      <c r="V32" s="114">
        <f>+IFERROR(BP32+'[1]Master Sizer Inputs'!$T$29,"N/A")</f>
        <v>0.77500000000000002</v>
      </c>
      <c r="W32" s="115">
        <f>+IFERROR(BQ32+'[1]Master Sizer Inputs'!$T$29,"N/A")</f>
        <v>0.85</v>
      </c>
      <c r="X32" s="113">
        <f>+IFERROR(BR32+'[1]Master Sizer Inputs'!$T$29,"N/A")</f>
        <v>0.77500000000000002</v>
      </c>
      <c r="Y32" s="114">
        <f>+IFERROR(BS32+'[1]Master Sizer Inputs'!$T$29,"N/A")</f>
        <v>0.77500000000000002</v>
      </c>
      <c r="Z32" s="115">
        <f>+IFERROR(BT32+'[1]Master Sizer Inputs'!$T$29,"N/A")</f>
        <v>0.85</v>
      </c>
      <c r="AA32" s="113">
        <f>+IFERROR(BU32+'[1]Master Sizer Inputs'!$T$29,"N/A")</f>
        <v>0.72499999999999998</v>
      </c>
      <c r="AB32" s="113">
        <f>+IFERROR(BV32+'[1]Master Sizer Inputs'!$T$29,"N/A")</f>
        <v>0.7</v>
      </c>
      <c r="AC32" s="115">
        <f>+IFERROR(BW32+'[1]Master Sizer Inputs'!$T$29,"N/A")</f>
        <v>0.77499999999999991</v>
      </c>
      <c r="AD32" s="116">
        <f t="shared" si="1"/>
        <v>0</v>
      </c>
      <c r="AE32" s="116">
        <v>7.4999999999999997E-3</v>
      </c>
      <c r="AF32" s="116">
        <f t="shared" si="7"/>
        <v>9.2790000000000011E-2</v>
      </c>
      <c r="AG32" s="116">
        <f>$AO$26+(5*$AO$32)</f>
        <v>9.2790000000000011E-2</v>
      </c>
      <c r="AH32" s="116">
        <f t="shared" si="2"/>
        <v>9.3290000000000012E-2</v>
      </c>
      <c r="AI32" s="116">
        <f>$AO$26+(5*$AO$32)+(0*$AO$31)+(1*$AO$30)</f>
        <v>9.3290000000000012E-2</v>
      </c>
      <c r="AJ32" s="116">
        <f t="shared" si="3"/>
        <v>9.3790000000000012E-2</v>
      </c>
      <c r="AK32" s="198">
        <f>$AO$26+(5*$AO$32)+(0*$AO$31)+(2*$AO$30)</f>
        <v>9.3790000000000012E-2</v>
      </c>
      <c r="AN32" s="65" t="s">
        <v>57</v>
      </c>
      <c r="AO32" s="66">
        <v>1.25E-3</v>
      </c>
      <c r="BF32" s="39">
        <v>0.82500000000000007</v>
      </c>
      <c r="BG32" s="40">
        <v>0.75</v>
      </c>
      <c r="BH32" s="41">
        <v>0.875</v>
      </c>
      <c r="BI32" s="39">
        <v>0.82500000000000007</v>
      </c>
      <c r="BJ32" s="40">
        <v>0.75</v>
      </c>
      <c r="BK32" s="41">
        <v>0.875</v>
      </c>
      <c r="BL32" s="39">
        <v>0.82500000000000007</v>
      </c>
      <c r="BM32" s="40">
        <v>0.75</v>
      </c>
      <c r="BN32" s="41">
        <v>0.85</v>
      </c>
      <c r="BO32" s="39">
        <v>0.77500000000000002</v>
      </c>
      <c r="BP32" s="40">
        <v>0.77500000000000002</v>
      </c>
      <c r="BQ32" s="41">
        <v>0.85</v>
      </c>
      <c r="BR32" s="39">
        <v>0.77500000000000002</v>
      </c>
      <c r="BS32" s="40">
        <v>0.77500000000000002</v>
      </c>
      <c r="BT32" s="41">
        <v>0.85</v>
      </c>
      <c r="BU32" s="39">
        <v>0.72499999999999998</v>
      </c>
      <c r="BV32" s="40">
        <v>0.7</v>
      </c>
      <c r="BW32" s="41">
        <v>0.77499999999999991</v>
      </c>
    </row>
    <row r="33" spans="3:75" ht="16.5" thickBot="1">
      <c r="C33" s="110" t="s">
        <v>43</v>
      </c>
      <c r="D33" s="110" t="s">
        <v>47</v>
      </c>
      <c r="E33" s="111">
        <v>5</v>
      </c>
      <c r="F33" s="111" t="str">
        <f t="shared" si="0"/>
        <v>FNFB5</v>
      </c>
      <c r="G33" s="111">
        <v>720</v>
      </c>
      <c r="H33" s="111" t="str">
        <f t="shared" si="6"/>
        <v>FNFB57201</v>
      </c>
      <c r="I33" s="111">
        <v>1</v>
      </c>
      <c r="J33" s="112">
        <v>150000</v>
      </c>
      <c r="K33" s="112">
        <v>999999</v>
      </c>
      <c r="L33" s="117">
        <f>+IFERROR(BF33+'[1]Master Sizer Inputs'!$T$29,"N/A")</f>
        <v>0.82500000000000007</v>
      </c>
      <c r="M33" s="118">
        <f>+IFERROR(BG33+'[1]Master Sizer Inputs'!$T$29,"N/A")</f>
        <v>0.77500000000000002</v>
      </c>
      <c r="N33" s="119">
        <f>+IFERROR(BH33+'[1]Master Sizer Inputs'!$T$29,"N/A")</f>
        <v>0.875</v>
      </c>
      <c r="O33" s="117">
        <f>+IFERROR(BI33+'[1]Master Sizer Inputs'!$T$29,"N/A")</f>
        <v>0.82500000000000007</v>
      </c>
      <c r="P33" s="118">
        <f>+IFERROR(BJ33+'[1]Master Sizer Inputs'!$T$29,"N/A")</f>
        <v>0.77500000000000002</v>
      </c>
      <c r="Q33" s="119">
        <f>+IFERROR(BK33+'[1]Master Sizer Inputs'!$T$29,"N/A")</f>
        <v>0.875</v>
      </c>
      <c r="R33" s="117">
        <f>+IFERROR(BL33+'[1]Master Sizer Inputs'!$T$29,"N/A")</f>
        <v>0.82500000000000007</v>
      </c>
      <c r="S33" s="118">
        <f>+IFERROR(BM33+'[1]Master Sizer Inputs'!$T$29,"N/A")</f>
        <v>0.77500000000000002</v>
      </c>
      <c r="T33" s="119">
        <f>+IFERROR(BN33+'[1]Master Sizer Inputs'!$T$29,"N/A")</f>
        <v>0.85</v>
      </c>
      <c r="U33" s="117">
        <f>+IFERROR(BO33+'[1]Master Sizer Inputs'!$T$29,"N/A")</f>
        <v>0.77500000000000002</v>
      </c>
      <c r="V33" s="118">
        <f>+IFERROR(BP33+'[1]Master Sizer Inputs'!$T$29,"N/A")</f>
        <v>0.77500000000000002</v>
      </c>
      <c r="W33" s="119">
        <f>+IFERROR(BQ33+'[1]Master Sizer Inputs'!$T$29,"N/A")</f>
        <v>0.85</v>
      </c>
      <c r="X33" s="117">
        <f>+IFERROR(BR33+'[1]Master Sizer Inputs'!$T$29,"N/A")</f>
        <v>0.77500000000000002</v>
      </c>
      <c r="Y33" s="118">
        <f>+IFERROR(BS33+'[1]Master Sizer Inputs'!$T$29,"N/A")</f>
        <v>0.77500000000000002</v>
      </c>
      <c r="Z33" s="119">
        <f>+IFERROR(BT33+'[1]Master Sizer Inputs'!$T$29,"N/A")</f>
        <v>0.85</v>
      </c>
      <c r="AA33" s="117">
        <f>+IFERROR(BU33+'[1]Master Sizer Inputs'!$T$29,"N/A")</f>
        <v>0.72499999999999998</v>
      </c>
      <c r="AB33" s="117">
        <f>+IFERROR(BV33+'[1]Master Sizer Inputs'!$T$29,"N/A")</f>
        <v>0.72499999999999998</v>
      </c>
      <c r="AC33" s="119">
        <f>+IFERROR(BW33+'[1]Master Sizer Inputs'!$T$29,"N/A")</f>
        <v>0.77499999999999991</v>
      </c>
      <c r="AD33" s="116">
        <f t="shared" si="1"/>
        <v>0</v>
      </c>
      <c r="AE33" s="116">
        <v>7.4999999999999997E-3</v>
      </c>
      <c r="AF33" s="116">
        <f t="shared" si="7"/>
        <v>9.2790000000000011E-2</v>
      </c>
      <c r="AG33" s="116">
        <f>$AO$26+(5*$AO$32)</f>
        <v>9.2790000000000011E-2</v>
      </c>
      <c r="AH33" s="116">
        <f t="shared" si="2"/>
        <v>9.3290000000000012E-2</v>
      </c>
      <c r="AI33" s="116">
        <f>$AO$26+(5*$AO$32)+(0*$AO$31)+(1*$AO$30)</f>
        <v>9.3290000000000012E-2</v>
      </c>
      <c r="AJ33" s="116">
        <f t="shared" si="3"/>
        <v>9.3790000000000012E-2</v>
      </c>
      <c r="AK33" s="198">
        <f>$AO$26+(5*$AO$32)+(0*$AO$31)+(2*$AO$30)</f>
        <v>9.3790000000000012E-2</v>
      </c>
      <c r="AN33" s="65" t="s">
        <v>58</v>
      </c>
      <c r="AO33" s="66">
        <v>2.5000000000000022E-3</v>
      </c>
      <c r="BF33" s="43">
        <v>0.82500000000000007</v>
      </c>
      <c r="BG33" s="44">
        <v>0.77500000000000002</v>
      </c>
      <c r="BH33" s="45">
        <v>0.875</v>
      </c>
      <c r="BI33" s="43">
        <v>0.82500000000000007</v>
      </c>
      <c r="BJ33" s="44">
        <v>0.77500000000000002</v>
      </c>
      <c r="BK33" s="45">
        <v>0.875</v>
      </c>
      <c r="BL33" s="43">
        <v>0.82500000000000007</v>
      </c>
      <c r="BM33" s="44">
        <v>0.77500000000000002</v>
      </c>
      <c r="BN33" s="45">
        <v>0.85</v>
      </c>
      <c r="BO33" s="43">
        <v>0.77500000000000002</v>
      </c>
      <c r="BP33" s="44">
        <v>0.77500000000000002</v>
      </c>
      <c r="BQ33" s="45">
        <v>0.85</v>
      </c>
      <c r="BR33" s="43">
        <v>0.77500000000000002</v>
      </c>
      <c r="BS33" s="44">
        <v>0.77500000000000002</v>
      </c>
      <c r="BT33" s="45">
        <v>0.85</v>
      </c>
      <c r="BU33" s="43">
        <v>0.72499999999999998</v>
      </c>
      <c r="BV33" s="44">
        <v>0.72499999999999998</v>
      </c>
      <c r="BW33" s="45">
        <v>0.77499999999999991</v>
      </c>
    </row>
    <row r="34" spans="3:75">
      <c r="C34" s="46" t="s">
        <v>43</v>
      </c>
      <c r="D34" s="46" t="s">
        <v>47</v>
      </c>
      <c r="E34" s="47">
        <v>5</v>
      </c>
      <c r="F34" s="47" t="str">
        <f t="shared" si="0"/>
        <v>FNFB5</v>
      </c>
      <c r="G34" s="47">
        <v>700</v>
      </c>
      <c r="H34" s="47" t="str">
        <f t="shared" si="6"/>
        <v>FNFB57004</v>
      </c>
      <c r="I34" s="47">
        <v>4</v>
      </c>
      <c r="J34" s="48">
        <v>3500000</v>
      </c>
      <c r="K34" s="48">
        <v>4999999</v>
      </c>
      <c r="L34" s="84">
        <f>+IFERROR(BF34+'[1]Master Sizer Inputs'!$T$29,"N/A")</f>
        <v>0.77500000000000002</v>
      </c>
      <c r="M34" s="85">
        <f>+IFERROR(BG34+'[1]Master Sizer Inputs'!$T$29,"N/A")</f>
        <v>0.7</v>
      </c>
      <c r="N34" s="86">
        <f>+IFERROR(BH34+'[1]Master Sizer Inputs'!$T$29,"N/A")</f>
        <v>0.79999999999999993</v>
      </c>
      <c r="O34" s="84">
        <f>+IFERROR(BI34+'[1]Master Sizer Inputs'!$T$29,"N/A")</f>
        <v>0.77500000000000002</v>
      </c>
      <c r="P34" s="85">
        <f>+IFERROR(BJ34+'[1]Master Sizer Inputs'!$T$29,"N/A")</f>
        <v>0.7</v>
      </c>
      <c r="Q34" s="86">
        <f>+IFERROR(BK34+'[1]Master Sizer Inputs'!$T$29,"N/A")</f>
        <v>0.79999999999999993</v>
      </c>
      <c r="R34" s="84">
        <f>+IFERROR(BL34+'[1]Master Sizer Inputs'!$T$29,"N/A")</f>
        <v>0.77500000000000002</v>
      </c>
      <c r="S34" s="85">
        <f>+IFERROR(BM34+'[1]Master Sizer Inputs'!$T$29,"N/A")</f>
        <v>0.7</v>
      </c>
      <c r="T34" s="86">
        <f>+IFERROR(BN34+'[1]Master Sizer Inputs'!$T$29,"N/A")</f>
        <v>0.79999999999999993</v>
      </c>
      <c r="U34" s="84">
        <f>+IFERROR(BO34+'[1]Master Sizer Inputs'!$T$29,"N/A")</f>
        <v>0.7</v>
      </c>
      <c r="V34" s="85">
        <f>+IFERROR(BP34+'[1]Master Sizer Inputs'!$T$29,"N/A")</f>
        <v>0.7</v>
      </c>
      <c r="W34" s="86">
        <f>+IFERROR(BQ34+'[1]Master Sizer Inputs'!$T$29,"N/A")</f>
        <v>0.79999999999999993</v>
      </c>
      <c r="X34" s="84">
        <f>+IFERROR(BR34+'[1]Master Sizer Inputs'!$T$29,"N/A")</f>
        <v>0.7</v>
      </c>
      <c r="Y34" s="85">
        <f>+IFERROR(BS34+'[1]Master Sizer Inputs'!$T$29,"N/A")</f>
        <v>0.7</v>
      </c>
      <c r="Z34" s="86">
        <f>+IFERROR(BT34+'[1]Master Sizer Inputs'!$T$29,"N/A")</f>
        <v>0.79999999999999993</v>
      </c>
      <c r="AA34" s="84">
        <f>+IFERROR(BU34+'[1]Master Sizer Inputs'!$T$29,"N/A")</f>
        <v>0.67499999999999993</v>
      </c>
      <c r="AB34" s="84">
        <f>+IFERROR(BV34+'[1]Master Sizer Inputs'!$T$29,"N/A")</f>
        <v>0.64999999999999991</v>
      </c>
      <c r="AC34" s="86">
        <f>+IFERROR(BW34+'[1]Master Sizer Inputs'!$T$29,"N/A")</f>
        <v>0.72499999999999987</v>
      </c>
      <c r="AD34" s="52">
        <f t="shared" si="1"/>
        <v>0</v>
      </c>
      <c r="AE34" s="52">
        <v>7.4999999999999997E-3</v>
      </c>
      <c r="AF34" s="52">
        <f t="shared" si="7"/>
        <v>9.9040000000000017E-2</v>
      </c>
      <c r="AG34" s="52">
        <f>$AO$26+(6*$AO$32)+(2*$AO$31)</f>
        <v>9.9040000000000017E-2</v>
      </c>
      <c r="AH34" s="52">
        <f t="shared" si="2"/>
        <v>9.9540000000000017E-2</v>
      </c>
      <c r="AI34" s="52">
        <f>$AO$26+(6*$AO$32)+(2*$AO$31)+(1*$AO$30)</f>
        <v>9.9540000000000017E-2</v>
      </c>
      <c r="AJ34" s="52">
        <f t="shared" si="3"/>
        <v>0.10004000000000002</v>
      </c>
      <c r="AK34" s="199">
        <f>$AO$26+(6*$AO$32)+(2*$AO$31)+(2*$AO$30)</f>
        <v>0.10004000000000002</v>
      </c>
      <c r="BF34" s="84">
        <v>0.77500000000000002</v>
      </c>
      <c r="BG34" s="85">
        <v>0.7</v>
      </c>
      <c r="BH34" s="86">
        <v>0.79999999999999993</v>
      </c>
      <c r="BI34" s="84">
        <v>0.77500000000000002</v>
      </c>
      <c r="BJ34" s="85">
        <v>0.7</v>
      </c>
      <c r="BK34" s="86">
        <v>0.79999999999999993</v>
      </c>
      <c r="BL34" s="84">
        <v>0.77500000000000002</v>
      </c>
      <c r="BM34" s="85">
        <v>0.7</v>
      </c>
      <c r="BN34" s="86">
        <v>0.79999999999999993</v>
      </c>
      <c r="BO34" s="84">
        <v>0.7</v>
      </c>
      <c r="BP34" s="85">
        <v>0.7</v>
      </c>
      <c r="BQ34" s="86">
        <v>0.79999999999999993</v>
      </c>
      <c r="BR34" s="84">
        <v>0.7</v>
      </c>
      <c r="BS34" s="85">
        <v>0.7</v>
      </c>
      <c r="BT34" s="86">
        <v>0.79999999999999993</v>
      </c>
      <c r="BU34" s="84">
        <v>0.67499999999999993</v>
      </c>
      <c r="BV34" s="85">
        <v>0.64999999999999991</v>
      </c>
      <c r="BW34" s="86">
        <v>0.72499999999999987</v>
      </c>
    </row>
    <row r="35" spans="3:75">
      <c r="C35" s="46" t="s">
        <v>43</v>
      </c>
      <c r="D35" s="46" t="s">
        <v>47</v>
      </c>
      <c r="E35" s="47">
        <v>5</v>
      </c>
      <c r="F35" s="47" t="str">
        <f t="shared" si="0"/>
        <v>FNFB5</v>
      </c>
      <c r="G35" s="47">
        <v>700</v>
      </c>
      <c r="H35" s="47" t="str">
        <f t="shared" si="6"/>
        <v>FNFB57003</v>
      </c>
      <c r="I35" s="47">
        <v>3</v>
      </c>
      <c r="J35" s="48">
        <v>2000000</v>
      </c>
      <c r="K35" s="48">
        <v>3499999</v>
      </c>
      <c r="L35" s="84">
        <f>+IFERROR(BF35+'[1]Master Sizer Inputs'!$T$29,"N/A")</f>
        <v>0.79999999999999993</v>
      </c>
      <c r="M35" s="85">
        <f>+IFERROR(BG35+'[1]Master Sizer Inputs'!$T$29,"N/A")</f>
        <v>0.72499999999999998</v>
      </c>
      <c r="N35" s="86">
        <f>+IFERROR(BH35+'[1]Master Sizer Inputs'!$T$29,"N/A")</f>
        <v>0.85</v>
      </c>
      <c r="O35" s="84">
        <f>+IFERROR(BI35+'[1]Master Sizer Inputs'!$T$29,"N/A")</f>
        <v>0.79999999999999993</v>
      </c>
      <c r="P35" s="85">
        <f>+IFERROR(BJ35+'[1]Master Sizer Inputs'!$T$29,"N/A")</f>
        <v>0.72499999999999998</v>
      </c>
      <c r="Q35" s="86">
        <f>+IFERROR(BK35+'[1]Master Sizer Inputs'!$T$29,"N/A")</f>
        <v>0.85</v>
      </c>
      <c r="R35" s="84">
        <f>+IFERROR(BL35+'[1]Master Sizer Inputs'!$T$29,"N/A")</f>
        <v>0.77500000000000002</v>
      </c>
      <c r="S35" s="85">
        <f>+IFERROR(BM35+'[1]Master Sizer Inputs'!$T$29,"N/A")</f>
        <v>0.72499999999999998</v>
      </c>
      <c r="T35" s="86">
        <f>+IFERROR(BN35+'[1]Master Sizer Inputs'!$T$29,"N/A")</f>
        <v>0.82499999999999996</v>
      </c>
      <c r="U35" s="84">
        <f>+IFERROR(BO35+'[1]Master Sizer Inputs'!$T$29,"N/A")</f>
        <v>0.72499999999999998</v>
      </c>
      <c r="V35" s="85">
        <f>+IFERROR(BP35+'[1]Master Sizer Inputs'!$T$29,"N/A")</f>
        <v>0.72499999999999998</v>
      </c>
      <c r="W35" s="86">
        <f>+IFERROR(BQ35+'[1]Master Sizer Inputs'!$T$29,"N/A")</f>
        <v>0.82499999999999996</v>
      </c>
      <c r="X35" s="84">
        <f>+IFERROR(BR35+'[1]Master Sizer Inputs'!$T$29,"N/A")</f>
        <v>0.72499999999999998</v>
      </c>
      <c r="Y35" s="85">
        <f>+IFERROR(BS35+'[1]Master Sizer Inputs'!$T$29,"N/A")</f>
        <v>0.72499999999999998</v>
      </c>
      <c r="Z35" s="86">
        <f>+IFERROR(BT35+'[1]Master Sizer Inputs'!$T$29,"N/A")</f>
        <v>0.82499999999999996</v>
      </c>
      <c r="AA35" s="84">
        <f>+IFERROR(BU35+'[1]Master Sizer Inputs'!$T$29,"N/A")</f>
        <v>0.67499999999999993</v>
      </c>
      <c r="AB35" s="84">
        <f>+IFERROR(BV35+'[1]Master Sizer Inputs'!$T$29,"N/A")</f>
        <v>0.67499999999999993</v>
      </c>
      <c r="AC35" s="86">
        <f>+IFERROR(BW35+'[1]Master Sizer Inputs'!$T$29,"N/A")</f>
        <v>0.74999999999999989</v>
      </c>
      <c r="AD35" s="52">
        <f t="shared" si="1"/>
        <v>0</v>
      </c>
      <c r="AE35" s="52">
        <v>7.4999999999999997E-3</v>
      </c>
      <c r="AF35" s="52">
        <f t="shared" si="7"/>
        <v>9.6540000000000015E-2</v>
      </c>
      <c r="AG35" s="52">
        <f>$AO$26+(6*$AO$32)+(1*$AO$31)</f>
        <v>9.6540000000000015E-2</v>
      </c>
      <c r="AH35" s="52">
        <f t="shared" si="2"/>
        <v>9.7040000000000015E-2</v>
      </c>
      <c r="AI35" s="52">
        <f>$AO$26+(6*$AO$32)+(1*$AO$31)+(1*$AO$30)</f>
        <v>9.7040000000000015E-2</v>
      </c>
      <c r="AJ35" s="52">
        <f t="shared" si="3"/>
        <v>9.7540000000000016E-2</v>
      </c>
      <c r="AK35" s="199">
        <f>$AO$26+(6*$AO$32)+(1*$AO$31)+(2*$AO$30)</f>
        <v>9.7540000000000016E-2</v>
      </c>
      <c r="AN35" s="87" t="s">
        <v>59</v>
      </c>
      <c r="AO35" s="87" t="s">
        <v>43</v>
      </c>
      <c r="BF35" s="84">
        <v>0.79999999999999993</v>
      </c>
      <c r="BG35" s="85">
        <v>0.72499999999999998</v>
      </c>
      <c r="BH35" s="86">
        <v>0.85</v>
      </c>
      <c r="BI35" s="84">
        <v>0.79999999999999993</v>
      </c>
      <c r="BJ35" s="85">
        <v>0.72499999999999998</v>
      </c>
      <c r="BK35" s="86">
        <v>0.85</v>
      </c>
      <c r="BL35" s="84">
        <v>0.77500000000000002</v>
      </c>
      <c r="BM35" s="85">
        <v>0.72499999999999998</v>
      </c>
      <c r="BN35" s="86">
        <v>0.82499999999999996</v>
      </c>
      <c r="BO35" s="84">
        <v>0.72499999999999998</v>
      </c>
      <c r="BP35" s="85">
        <v>0.72499999999999998</v>
      </c>
      <c r="BQ35" s="86">
        <v>0.82499999999999996</v>
      </c>
      <c r="BR35" s="84">
        <v>0.72499999999999998</v>
      </c>
      <c r="BS35" s="85">
        <v>0.72499999999999998</v>
      </c>
      <c r="BT35" s="86">
        <v>0.82499999999999996</v>
      </c>
      <c r="BU35" s="84">
        <v>0.67499999999999993</v>
      </c>
      <c r="BV35" s="85">
        <v>0.67499999999999993</v>
      </c>
      <c r="BW35" s="86">
        <v>0.74999999999999989</v>
      </c>
    </row>
    <row r="36" spans="3:75">
      <c r="C36" s="46" t="s">
        <v>43</v>
      </c>
      <c r="D36" s="46" t="s">
        <v>47</v>
      </c>
      <c r="E36" s="47">
        <v>5</v>
      </c>
      <c r="F36" s="47" t="str">
        <f t="shared" si="0"/>
        <v>FNFB5</v>
      </c>
      <c r="G36" s="47">
        <v>700</v>
      </c>
      <c r="H36" s="47" t="str">
        <f t="shared" si="6"/>
        <v>FNFB57002</v>
      </c>
      <c r="I36" s="47">
        <v>2</v>
      </c>
      <c r="J36" s="48">
        <v>1000000</v>
      </c>
      <c r="K36" s="48">
        <v>1999999</v>
      </c>
      <c r="L36" s="49">
        <f>+IFERROR(BF36+'[1]Master Sizer Inputs'!$T$29,"N/A")</f>
        <v>0.8</v>
      </c>
      <c r="M36" s="50">
        <f>+IFERROR(BG36+'[1]Master Sizer Inputs'!$T$29,"N/A")</f>
        <v>0.72499999999999998</v>
      </c>
      <c r="N36" s="51">
        <f>+IFERROR(BH36+'[1]Master Sizer Inputs'!$T$29,"N/A")</f>
        <v>0.85</v>
      </c>
      <c r="O36" s="49">
        <f>+IFERROR(BI36+'[1]Master Sizer Inputs'!$T$29,"N/A")</f>
        <v>0.8</v>
      </c>
      <c r="P36" s="50">
        <f>+IFERROR(BJ36+'[1]Master Sizer Inputs'!$T$29,"N/A")</f>
        <v>0.72499999999999998</v>
      </c>
      <c r="Q36" s="51">
        <f>+IFERROR(BK36+'[1]Master Sizer Inputs'!$T$29,"N/A")</f>
        <v>0.85</v>
      </c>
      <c r="R36" s="49">
        <f>+IFERROR(BL36+'[1]Master Sizer Inputs'!$T$29,"N/A")</f>
        <v>0.8</v>
      </c>
      <c r="S36" s="50">
        <f>+IFERROR(BM36+'[1]Master Sizer Inputs'!$T$29,"N/A")</f>
        <v>0.72499999999999998</v>
      </c>
      <c r="T36" s="51">
        <f>+IFERROR(BN36+'[1]Master Sizer Inputs'!$T$29,"N/A")</f>
        <v>0.82499999999999996</v>
      </c>
      <c r="U36" s="49">
        <f>+IFERROR(BO36+'[1]Master Sizer Inputs'!$T$29,"N/A")</f>
        <v>0.75</v>
      </c>
      <c r="V36" s="50">
        <f>+IFERROR(BP36+'[1]Master Sizer Inputs'!$T$29,"N/A")</f>
        <v>0.75</v>
      </c>
      <c r="W36" s="51">
        <f>+IFERROR(BQ36+'[1]Master Sizer Inputs'!$T$29,"N/A")</f>
        <v>0.82499999999999996</v>
      </c>
      <c r="X36" s="49">
        <f>+IFERROR(BR36+'[1]Master Sizer Inputs'!$T$29,"N/A")</f>
        <v>0.75</v>
      </c>
      <c r="Y36" s="50">
        <f>+IFERROR(BS36+'[1]Master Sizer Inputs'!$T$29,"N/A")</f>
        <v>0.75</v>
      </c>
      <c r="Z36" s="51">
        <f>+IFERROR(BT36+'[1]Master Sizer Inputs'!$T$29,"N/A")</f>
        <v>0.82499999999999996</v>
      </c>
      <c r="AA36" s="49">
        <f>+IFERROR(BU36+'[1]Master Sizer Inputs'!$T$29,"N/A")</f>
        <v>0.7</v>
      </c>
      <c r="AB36" s="49">
        <f>+IFERROR(BV36+'[1]Master Sizer Inputs'!$T$29,"N/A")</f>
        <v>0.67499999999999993</v>
      </c>
      <c r="AC36" s="51">
        <f>+IFERROR(BW36+'[1]Master Sizer Inputs'!$T$29,"N/A")</f>
        <v>0.74999999999999989</v>
      </c>
      <c r="AD36" s="52">
        <f t="shared" si="1"/>
        <v>0</v>
      </c>
      <c r="AE36" s="52">
        <v>7.4999999999999997E-3</v>
      </c>
      <c r="AF36" s="52">
        <f t="shared" si="7"/>
        <v>9.4040000000000012E-2</v>
      </c>
      <c r="AG36" s="52">
        <f>$AO$26+(6*$AO$32)</f>
        <v>9.4040000000000012E-2</v>
      </c>
      <c r="AH36" s="52">
        <f t="shared" si="2"/>
        <v>9.4540000000000013E-2</v>
      </c>
      <c r="AI36" s="52">
        <f>$AO$26+(6*$AO$32)+(0*$AO$31)+(1*$AO$30)</f>
        <v>9.4540000000000013E-2</v>
      </c>
      <c r="AJ36" s="52">
        <f t="shared" si="3"/>
        <v>9.5040000000000013E-2</v>
      </c>
      <c r="AK36" s="199">
        <f>$AO$26+(6*$AO$32)+(0*$AO$31)+(2*$AO$30)</f>
        <v>9.5040000000000013E-2</v>
      </c>
      <c r="AN36" s="87" t="s">
        <v>60</v>
      </c>
      <c r="AO36" s="87" t="s">
        <v>61</v>
      </c>
      <c r="BF36" s="49">
        <v>0.8</v>
      </c>
      <c r="BG36" s="50">
        <v>0.72499999999999998</v>
      </c>
      <c r="BH36" s="51">
        <v>0.85</v>
      </c>
      <c r="BI36" s="49">
        <v>0.8</v>
      </c>
      <c r="BJ36" s="50">
        <v>0.72499999999999998</v>
      </c>
      <c r="BK36" s="51">
        <v>0.85</v>
      </c>
      <c r="BL36" s="49">
        <v>0.8</v>
      </c>
      <c r="BM36" s="50">
        <v>0.72499999999999998</v>
      </c>
      <c r="BN36" s="51">
        <v>0.82499999999999996</v>
      </c>
      <c r="BO36" s="49">
        <v>0.75</v>
      </c>
      <c r="BP36" s="50">
        <v>0.75</v>
      </c>
      <c r="BQ36" s="51">
        <v>0.82499999999999996</v>
      </c>
      <c r="BR36" s="49">
        <v>0.75</v>
      </c>
      <c r="BS36" s="50">
        <v>0.75</v>
      </c>
      <c r="BT36" s="51">
        <v>0.82499999999999996</v>
      </c>
      <c r="BU36" s="49">
        <v>0.7</v>
      </c>
      <c r="BV36" s="50">
        <v>0.67499999999999993</v>
      </c>
      <c r="BW36" s="51">
        <v>0.74999999999999989</v>
      </c>
    </row>
    <row r="37" spans="3:75" ht="16.5" thickBot="1">
      <c r="C37" s="46" t="s">
        <v>43</v>
      </c>
      <c r="D37" s="46" t="s">
        <v>47</v>
      </c>
      <c r="E37" s="47">
        <v>5</v>
      </c>
      <c r="F37" s="47" t="str">
        <f t="shared" si="0"/>
        <v>FNFB5</v>
      </c>
      <c r="G37" s="47">
        <v>700</v>
      </c>
      <c r="H37" s="47" t="str">
        <f t="shared" si="6"/>
        <v>FNFB57001</v>
      </c>
      <c r="I37" s="47">
        <v>1</v>
      </c>
      <c r="J37" s="48">
        <v>150000</v>
      </c>
      <c r="K37" s="48">
        <v>999999</v>
      </c>
      <c r="L37" s="54">
        <f>+IFERROR(BF37+'[1]Master Sizer Inputs'!$T$29,"N/A")</f>
        <v>0.8</v>
      </c>
      <c r="M37" s="55">
        <f>+IFERROR(BG37+'[1]Master Sizer Inputs'!$T$29,"N/A")</f>
        <v>0.75</v>
      </c>
      <c r="N37" s="56">
        <f>+IFERROR(BH37+'[1]Master Sizer Inputs'!$T$29,"N/A")</f>
        <v>0.85</v>
      </c>
      <c r="O37" s="54">
        <f>+IFERROR(BI37+'[1]Master Sizer Inputs'!$T$29,"N/A")</f>
        <v>0.8</v>
      </c>
      <c r="P37" s="55">
        <f>+IFERROR(BJ37+'[1]Master Sizer Inputs'!$T$29,"N/A")</f>
        <v>0.75</v>
      </c>
      <c r="Q37" s="56">
        <f>+IFERROR(BK37+'[1]Master Sizer Inputs'!$T$29,"N/A")</f>
        <v>0.85</v>
      </c>
      <c r="R37" s="54">
        <f>+IFERROR(BL37+'[1]Master Sizer Inputs'!$T$29,"N/A")</f>
        <v>0.8</v>
      </c>
      <c r="S37" s="55">
        <f>+IFERROR(BM37+'[1]Master Sizer Inputs'!$T$29,"N/A")</f>
        <v>0.75</v>
      </c>
      <c r="T37" s="56">
        <f>+IFERROR(BN37+'[1]Master Sizer Inputs'!$T$29,"N/A")</f>
        <v>0.82499999999999996</v>
      </c>
      <c r="U37" s="54">
        <f>+IFERROR(BO37+'[1]Master Sizer Inputs'!$T$29,"N/A")</f>
        <v>0.75</v>
      </c>
      <c r="V37" s="55">
        <f>+IFERROR(BP37+'[1]Master Sizer Inputs'!$T$29,"N/A")</f>
        <v>0.75</v>
      </c>
      <c r="W37" s="56">
        <f>+IFERROR(BQ37+'[1]Master Sizer Inputs'!$T$29,"N/A")</f>
        <v>0.82499999999999996</v>
      </c>
      <c r="X37" s="54">
        <f>+IFERROR(BR37+'[1]Master Sizer Inputs'!$T$29,"N/A")</f>
        <v>0.75</v>
      </c>
      <c r="Y37" s="55">
        <f>+IFERROR(BS37+'[1]Master Sizer Inputs'!$T$29,"N/A")</f>
        <v>0.75</v>
      </c>
      <c r="Z37" s="56">
        <f>+IFERROR(BT37+'[1]Master Sizer Inputs'!$T$29,"N/A")</f>
        <v>0.82499999999999996</v>
      </c>
      <c r="AA37" s="54">
        <f>+IFERROR(BU37+'[1]Master Sizer Inputs'!$T$29,"N/A")</f>
        <v>0.7</v>
      </c>
      <c r="AB37" s="54">
        <f>+IFERROR(BV37+'[1]Master Sizer Inputs'!$T$29,"N/A")</f>
        <v>0.7</v>
      </c>
      <c r="AC37" s="56">
        <f>+IFERROR(BW37+'[1]Master Sizer Inputs'!$T$29,"N/A")</f>
        <v>0.74999999999999989</v>
      </c>
      <c r="AD37" s="52">
        <f t="shared" si="1"/>
        <v>0</v>
      </c>
      <c r="AE37" s="52">
        <v>7.4999999999999997E-3</v>
      </c>
      <c r="AF37" s="52">
        <f t="shared" si="7"/>
        <v>9.4040000000000012E-2</v>
      </c>
      <c r="AG37" s="52">
        <f>$AO$26+(6*$AO$32)</f>
        <v>9.4040000000000012E-2</v>
      </c>
      <c r="AH37" s="52">
        <f t="shared" si="2"/>
        <v>9.4540000000000013E-2</v>
      </c>
      <c r="AI37" s="52">
        <f>$AO$26+(6*$AO$32)+(0*$AO$31)+(1*$AO$30)</f>
        <v>9.4540000000000013E-2</v>
      </c>
      <c r="AJ37" s="52">
        <f t="shared" si="3"/>
        <v>9.5040000000000013E-2</v>
      </c>
      <c r="AK37" s="199">
        <f>$AO$26+(6*$AO$32)+(0*$AO$31)+(2*$AO$30)</f>
        <v>9.5040000000000013E-2</v>
      </c>
      <c r="BF37" s="54">
        <v>0.8</v>
      </c>
      <c r="BG37" s="55">
        <v>0.75</v>
      </c>
      <c r="BH37" s="56">
        <v>0.85</v>
      </c>
      <c r="BI37" s="54">
        <v>0.8</v>
      </c>
      <c r="BJ37" s="55">
        <v>0.75</v>
      </c>
      <c r="BK37" s="56">
        <v>0.85</v>
      </c>
      <c r="BL37" s="54">
        <v>0.8</v>
      </c>
      <c r="BM37" s="55">
        <v>0.75</v>
      </c>
      <c r="BN37" s="56">
        <v>0.82499999999999996</v>
      </c>
      <c r="BO37" s="54">
        <v>0.75</v>
      </c>
      <c r="BP37" s="55">
        <v>0.75</v>
      </c>
      <c r="BQ37" s="56">
        <v>0.82499999999999996</v>
      </c>
      <c r="BR37" s="54">
        <v>0.75</v>
      </c>
      <c r="BS37" s="55">
        <v>0.75</v>
      </c>
      <c r="BT37" s="56">
        <v>0.82499999999999996</v>
      </c>
      <c r="BU37" s="54">
        <v>0.7</v>
      </c>
      <c r="BV37" s="55">
        <v>0.7</v>
      </c>
      <c r="BW37" s="56">
        <v>0.74999999999999989</v>
      </c>
    </row>
    <row r="38" spans="3:75">
      <c r="C38" s="57" t="s">
        <v>43</v>
      </c>
      <c r="D38" s="57" t="s">
        <v>47</v>
      </c>
      <c r="E38" s="58">
        <v>5</v>
      </c>
      <c r="F38" s="58" t="str">
        <f t="shared" si="0"/>
        <v>FNFB5</v>
      </c>
      <c r="G38" s="58">
        <v>680</v>
      </c>
      <c r="H38" s="58" t="str">
        <f t="shared" si="6"/>
        <v>FNFB56804</v>
      </c>
      <c r="I38" s="58">
        <v>4</v>
      </c>
      <c r="J38" s="59">
        <v>3500000</v>
      </c>
      <c r="K38" s="59">
        <v>4999999</v>
      </c>
      <c r="L38" s="60" t="str">
        <f>+IFERROR(BF38+'[1]Master Sizer Inputs'!$T$29,"N/A")</f>
        <v>N/A</v>
      </c>
      <c r="M38" s="61" t="str">
        <f>+IFERROR(BG38+'[1]Master Sizer Inputs'!$T$29,"N/A")</f>
        <v>N/A</v>
      </c>
      <c r="N38" s="62" t="str">
        <f>+IFERROR(BH38+'[1]Master Sizer Inputs'!$T$29,"N/A")</f>
        <v>N/A</v>
      </c>
      <c r="O38" s="60" t="str">
        <f>+IFERROR(BI38+'[1]Master Sizer Inputs'!$T$29,"N/A")</f>
        <v>N/A</v>
      </c>
      <c r="P38" s="61" t="str">
        <f>+IFERROR(BJ38+'[1]Master Sizer Inputs'!$T$29,"N/A")</f>
        <v>N/A</v>
      </c>
      <c r="Q38" s="62" t="str">
        <f>+IFERROR(BK38+'[1]Master Sizer Inputs'!$T$29,"N/A")</f>
        <v>N/A</v>
      </c>
      <c r="R38" s="60" t="str">
        <f>+IFERROR(BL38+'[1]Master Sizer Inputs'!$T$29,"N/A")</f>
        <v>N/A</v>
      </c>
      <c r="S38" s="61" t="str">
        <f>+IFERROR(BM38+'[1]Master Sizer Inputs'!$T$29,"N/A")</f>
        <v>N/A</v>
      </c>
      <c r="T38" s="62" t="str">
        <f>+IFERROR(BN38+'[1]Master Sizer Inputs'!$T$29,"N/A")</f>
        <v>N/A</v>
      </c>
      <c r="U38" s="60" t="str">
        <f>+IFERROR(BO38+'[1]Master Sizer Inputs'!$T$29,"N/A")</f>
        <v>N/A</v>
      </c>
      <c r="V38" s="61" t="str">
        <f>+IFERROR(BP38+'[1]Master Sizer Inputs'!$T$29,"N/A")</f>
        <v>N/A</v>
      </c>
      <c r="W38" s="62" t="str">
        <f>+IFERROR(BQ38+'[1]Master Sizer Inputs'!$T$29,"N/A")</f>
        <v>N/A</v>
      </c>
      <c r="X38" s="60" t="str">
        <f>+IFERROR(BR38+'[1]Master Sizer Inputs'!$T$29,"N/A")</f>
        <v>N/A</v>
      </c>
      <c r="Y38" s="61" t="str">
        <f>+IFERROR(BS38+'[1]Master Sizer Inputs'!$T$29,"N/A")</f>
        <v>N/A</v>
      </c>
      <c r="Z38" s="62" t="str">
        <f>+IFERROR(BT38+'[1]Master Sizer Inputs'!$T$29,"N/A")</f>
        <v>N/A</v>
      </c>
      <c r="AA38" s="60" t="str">
        <f>+IFERROR(BU38+'[1]Master Sizer Inputs'!$T$29,"N/A")</f>
        <v>N/A</v>
      </c>
      <c r="AB38" s="60" t="str">
        <f>+IFERROR(BV38+'[1]Master Sizer Inputs'!$T$29,"N/A")</f>
        <v>N/A</v>
      </c>
      <c r="AC38" s="62" t="str">
        <f>+IFERROR(BW38+'[1]Master Sizer Inputs'!$T$29,"N/A")</f>
        <v>N/A</v>
      </c>
      <c r="AD38" s="63">
        <f t="shared" si="1"/>
        <v>0</v>
      </c>
      <c r="AE38" s="63">
        <v>7.4999999999999997E-3</v>
      </c>
      <c r="AF38" s="63">
        <f t="shared" si="7"/>
        <v>0.10029000000000002</v>
      </c>
      <c r="AG38" s="63">
        <f>$AO$26+(7*$AO$32)+(2*$AO$31)</f>
        <v>0.10029000000000002</v>
      </c>
      <c r="AH38" s="63">
        <f t="shared" si="2"/>
        <v>0.10079000000000002</v>
      </c>
      <c r="AI38" s="63">
        <f>$AO$26+(7*$AO$32)+(2*$AO$31)+(1*$AO$30)</f>
        <v>0.10079000000000002</v>
      </c>
      <c r="AJ38" s="63">
        <f t="shared" si="3"/>
        <v>0.10129000000000002</v>
      </c>
      <c r="AK38" s="200">
        <f>$AO$26+(7*$AO$32)+(2*$AO$31)+(2*$AO$30)</f>
        <v>0.10129000000000002</v>
      </c>
      <c r="BF38" s="60" t="s">
        <v>62</v>
      </c>
      <c r="BG38" s="61" t="s">
        <v>62</v>
      </c>
      <c r="BH38" s="62" t="s">
        <v>62</v>
      </c>
      <c r="BI38" s="60" t="s">
        <v>62</v>
      </c>
      <c r="BJ38" s="61" t="s">
        <v>62</v>
      </c>
      <c r="BK38" s="62" t="s">
        <v>62</v>
      </c>
      <c r="BL38" s="60" t="s">
        <v>62</v>
      </c>
      <c r="BM38" s="61" t="s">
        <v>62</v>
      </c>
      <c r="BN38" s="62" t="s">
        <v>62</v>
      </c>
      <c r="BO38" s="60" t="s">
        <v>62</v>
      </c>
      <c r="BP38" s="61" t="s">
        <v>62</v>
      </c>
      <c r="BQ38" s="62" t="s">
        <v>62</v>
      </c>
      <c r="BR38" s="60" t="s">
        <v>62</v>
      </c>
      <c r="BS38" s="61" t="s">
        <v>62</v>
      </c>
      <c r="BT38" s="62" t="s">
        <v>62</v>
      </c>
      <c r="BU38" s="60" t="s">
        <v>62</v>
      </c>
      <c r="BV38" s="61" t="s">
        <v>62</v>
      </c>
      <c r="BW38" s="62" t="s">
        <v>62</v>
      </c>
    </row>
    <row r="39" spans="3:75">
      <c r="C39" s="57" t="s">
        <v>43</v>
      </c>
      <c r="D39" s="57" t="s">
        <v>47</v>
      </c>
      <c r="E39" s="58">
        <v>5</v>
      </c>
      <c r="F39" s="58" t="str">
        <f t="shared" si="0"/>
        <v>FNFB5</v>
      </c>
      <c r="G39" s="58">
        <v>680</v>
      </c>
      <c r="H39" s="58" t="str">
        <f t="shared" si="6"/>
        <v>FNFB56803</v>
      </c>
      <c r="I39" s="58">
        <v>3</v>
      </c>
      <c r="J39" s="59">
        <v>2000000</v>
      </c>
      <c r="K39" s="59">
        <v>3499999</v>
      </c>
      <c r="L39" s="60">
        <f>+IFERROR(BF39+'[1]Master Sizer Inputs'!$T$29,"N/A")</f>
        <v>0.77499999999999991</v>
      </c>
      <c r="M39" s="61">
        <f>+IFERROR(BG39+'[1]Master Sizer Inputs'!$T$29,"N/A")</f>
        <v>0.7</v>
      </c>
      <c r="N39" s="62">
        <f>+IFERROR(BH39+'[1]Master Sizer Inputs'!$T$29,"N/A")</f>
        <v>0.82499999999999996</v>
      </c>
      <c r="O39" s="60">
        <f>+IFERROR(BI39+'[1]Master Sizer Inputs'!$T$29,"N/A")</f>
        <v>0.77499999999999991</v>
      </c>
      <c r="P39" s="61">
        <f>+IFERROR(BJ39+'[1]Master Sizer Inputs'!$T$29,"N/A")</f>
        <v>0.7</v>
      </c>
      <c r="Q39" s="62">
        <f>+IFERROR(BK39+'[1]Master Sizer Inputs'!$T$29,"N/A")</f>
        <v>0.82499999999999996</v>
      </c>
      <c r="R39" s="60">
        <f>+IFERROR(BL39+'[1]Master Sizer Inputs'!$T$29,"N/A")</f>
        <v>0.75</v>
      </c>
      <c r="S39" s="61">
        <f>+IFERROR(BM39+'[1]Master Sizer Inputs'!$T$29,"N/A")</f>
        <v>0.7</v>
      </c>
      <c r="T39" s="62">
        <f>+IFERROR(BN39+'[1]Master Sizer Inputs'!$T$29,"N/A")</f>
        <v>0.79999999999999993</v>
      </c>
      <c r="U39" s="60">
        <f>+IFERROR(BO39+'[1]Master Sizer Inputs'!$T$29,"N/A")</f>
        <v>0.7</v>
      </c>
      <c r="V39" s="61">
        <f>+IFERROR(BP39+'[1]Master Sizer Inputs'!$T$29,"N/A")</f>
        <v>0.7</v>
      </c>
      <c r="W39" s="62">
        <f>+IFERROR(BQ39+'[1]Master Sizer Inputs'!$T$29,"N/A")</f>
        <v>0.79999999999999993</v>
      </c>
      <c r="X39" s="60">
        <f>+IFERROR(BR39+'[1]Master Sizer Inputs'!$T$29,"N/A")</f>
        <v>0.7</v>
      </c>
      <c r="Y39" s="61">
        <f>+IFERROR(BS39+'[1]Master Sizer Inputs'!$T$29,"N/A")</f>
        <v>0.7</v>
      </c>
      <c r="Z39" s="62">
        <f>+IFERROR(BT39+'[1]Master Sizer Inputs'!$T$29,"N/A")</f>
        <v>0.79999999999999993</v>
      </c>
      <c r="AA39" s="60">
        <f>+IFERROR(BU39+'[1]Master Sizer Inputs'!$T$29,"N/A")</f>
        <v>0.64999999999999991</v>
      </c>
      <c r="AB39" s="60">
        <f>+IFERROR(BV39+'[1]Master Sizer Inputs'!$T$29,"N/A")</f>
        <v>0.64999999999999991</v>
      </c>
      <c r="AC39" s="62">
        <f>+IFERROR(BW39+'[1]Master Sizer Inputs'!$T$29,"N/A")</f>
        <v>0.72499999999999987</v>
      </c>
      <c r="AD39" s="63">
        <f t="shared" si="1"/>
        <v>0</v>
      </c>
      <c r="AE39" s="63">
        <v>7.4999999999999997E-3</v>
      </c>
      <c r="AF39" s="63">
        <f t="shared" si="7"/>
        <v>9.7790000000000016E-2</v>
      </c>
      <c r="AG39" s="63">
        <f>$AO$26+(7*$AO$32)+(1*$AO$31)</f>
        <v>9.7790000000000016E-2</v>
      </c>
      <c r="AH39" s="63">
        <f t="shared" si="2"/>
        <v>9.8290000000000016E-2</v>
      </c>
      <c r="AI39" s="63">
        <f>$AO$26+(7*$AO$32)+(1*$AO$31)+(1*$AO$30)</f>
        <v>9.8290000000000016E-2</v>
      </c>
      <c r="AJ39" s="63">
        <f t="shared" si="3"/>
        <v>9.8790000000000017E-2</v>
      </c>
      <c r="AK39" s="200">
        <f>$AO$26+(7*$AO$32)+(1*$AO$31)+(2*$AO$30)</f>
        <v>9.8790000000000017E-2</v>
      </c>
      <c r="BF39" s="60">
        <v>0.77499999999999991</v>
      </c>
      <c r="BG39" s="61">
        <v>0.7</v>
      </c>
      <c r="BH39" s="62">
        <v>0.82499999999999996</v>
      </c>
      <c r="BI39" s="60">
        <v>0.77499999999999991</v>
      </c>
      <c r="BJ39" s="61">
        <v>0.7</v>
      </c>
      <c r="BK39" s="62">
        <v>0.82499999999999996</v>
      </c>
      <c r="BL39" s="60">
        <v>0.75</v>
      </c>
      <c r="BM39" s="61">
        <v>0.7</v>
      </c>
      <c r="BN39" s="62">
        <v>0.79999999999999993</v>
      </c>
      <c r="BO39" s="60">
        <v>0.7</v>
      </c>
      <c r="BP39" s="61">
        <v>0.7</v>
      </c>
      <c r="BQ39" s="62">
        <v>0.79999999999999993</v>
      </c>
      <c r="BR39" s="60">
        <v>0.7</v>
      </c>
      <c r="BS39" s="61">
        <v>0.7</v>
      </c>
      <c r="BT39" s="62">
        <v>0.79999999999999993</v>
      </c>
      <c r="BU39" s="60">
        <v>0.64999999999999991</v>
      </c>
      <c r="BV39" s="61">
        <v>0.64999999999999991</v>
      </c>
      <c r="BW39" s="62">
        <v>0.72499999999999987</v>
      </c>
    </row>
    <row r="40" spans="3:75">
      <c r="C40" s="57" t="s">
        <v>43</v>
      </c>
      <c r="D40" s="57" t="s">
        <v>47</v>
      </c>
      <c r="E40" s="58">
        <v>5</v>
      </c>
      <c r="F40" s="58" t="str">
        <f t="shared" si="0"/>
        <v>FNFB5</v>
      </c>
      <c r="G40" s="58">
        <v>680</v>
      </c>
      <c r="H40" s="58" t="str">
        <f t="shared" si="6"/>
        <v>FNFB56802</v>
      </c>
      <c r="I40" s="58">
        <v>2</v>
      </c>
      <c r="J40" s="59">
        <v>1000000</v>
      </c>
      <c r="K40" s="59">
        <v>1999999</v>
      </c>
      <c r="L40" s="68">
        <f>+IFERROR(BF40+'[1]Master Sizer Inputs'!$T$29,"N/A")</f>
        <v>0.77500000000000002</v>
      </c>
      <c r="M40" s="69">
        <f>+IFERROR(BG40+'[1]Master Sizer Inputs'!$T$29,"N/A")</f>
        <v>0.7</v>
      </c>
      <c r="N40" s="70">
        <f>+IFERROR(BH40+'[1]Master Sizer Inputs'!$T$29,"N/A")</f>
        <v>0.82499999999999996</v>
      </c>
      <c r="O40" s="68">
        <f>+IFERROR(BI40+'[1]Master Sizer Inputs'!$T$29,"N/A")</f>
        <v>0.77500000000000002</v>
      </c>
      <c r="P40" s="69">
        <f>+IFERROR(BJ40+'[1]Master Sizer Inputs'!$T$29,"N/A")</f>
        <v>0.7</v>
      </c>
      <c r="Q40" s="70">
        <f>+IFERROR(BK40+'[1]Master Sizer Inputs'!$T$29,"N/A")</f>
        <v>0.82499999999999996</v>
      </c>
      <c r="R40" s="68">
        <f>+IFERROR(BL40+'[1]Master Sizer Inputs'!$T$29,"N/A")</f>
        <v>0.77500000000000002</v>
      </c>
      <c r="S40" s="69">
        <f>+IFERROR(BM40+'[1]Master Sizer Inputs'!$T$29,"N/A")</f>
        <v>0.7</v>
      </c>
      <c r="T40" s="70">
        <f>+IFERROR(BN40+'[1]Master Sizer Inputs'!$T$29,"N/A")</f>
        <v>0.79999999999999993</v>
      </c>
      <c r="U40" s="68">
        <f>+IFERROR(BO40+'[1]Master Sizer Inputs'!$T$29,"N/A")</f>
        <v>0.72499999999999998</v>
      </c>
      <c r="V40" s="69">
        <f>+IFERROR(BP40+'[1]Master Sizer Inputs'!$T$29,"N/A")</f>
        <v>0.72499999999999998</v>
      </c>
      <c r="W40" s="70">
        <f>+IFERROR(BQ40+'[1]Master Sizer Inputs'!$T$29,"N/A")</f>
        <v>0.79999999999999993</v>
      </c>
      <c r="X40" s="68">
        <f>+IFERROR(BR40+'[1]Master Sizer Inputs'!$T$29,"N/A")</f>
        <v>0.72499999999999998</v>
      </c>
      <c r="Y40" s="69">
        <f>+IFERROR(BS40+'[1]Master Sizer Inputs'!$T$29,"N/A")</f>
        <v>0.72499999999999998</v>
      </c>
      <c r="Z40" s="70">
        <f>+IFERROR(BT40+'[1]Master Sizer Inputs'!$T$29,"N/A")</f>
        <v>0.79999999999999993</v>
      </c>
      <c r="AA40" s="68">
        <f>+IFERROR(BU40+'[1]Master Sizer Inputs'!$T$29,"N/A")</f>
        <v>0.67499999999999993</v>
      </c>
      <c r="AB40" s="68">
        <f>+IFERROR(BV40+'[1]Master Sizer Inputs'!$T$29,"N/A")</f>
        <v>0.64999999999999991</v>
      </c>
      <c r="AC40" s="70">
        <f>+IFERROR(BW40+'[1]Master Sizer Inputs'!$T$29,"N/A")</f>
        <v>0.72499999999999987</v>
      </c>
      <c r="AD40" s="63">
        <f t="shared" si="1"/>
        <v>0</v>
      </c>
      <c r="AE40" s="63">
        <v>7.4999999999999997E-3</v>
      </c>
      <c r="AF40" s="63">
        <f t="shared" si="7"/>
        <v>9.5290000000000014E-2</v>
      </c>
      <c r="AG40" s="63">
        <f>$AO$26+(7*$AO$32)</f>
        <v>9.5290000000000014E-2</v>
      </c>
      <c r="AH40" s="63">
        <f t="shared" si="2"/>
        <v>9.5790000000000014E-2</v>
      </c>
      <c r="AI40" s="63">
        <f>$AO$26+(7*$AO$32)+(0*$AO$31)+(1*$AO$30)</f>
        <v>9.5790000000000014E-2</v>
      </c>
      <c r="AJ40" s="63">
        <f t="shared" si="3"/>
        <v>9.6290000000000014E-2</v>
      </c>
      <c r="AK40" s="200">
        <f>$AO$26+(7*$AO$32)+(0*$AO$31)+(2*$AO$30)</f>
        <v>9.6290000000000014E-2</v>
      </c>
      <c r="AZ40" s="88"/>
      <c r="BF40" s="68">
        <v>0.77500000000000002</v>
      </c>
      <c r="BG40" s="69">
        <v>0.7</v>
      </c>
      <c r="BH40" s="70">
        <v>0.82499999999999996</v>
      </c>
      <c r="BI40" s="68">
        <v>0.77500000000000002</v>
      </c>
      <c r="BJ40" s="69">
        <v>0.7</v>
      </c>
      <c r="BK40" s="70">
        <v>0.82499999999999996</v>
      </c>
      <c r="BL40" s="68">
        <v>0.77500000000000002</v>
      </c>
      <c r="BM40" s="69">
        <v>0.7</v>
      </c>
      <c r="BN40" s="70">
        <v>0.79999999999999993</v>
      </c>
      <c r="BO40" s="68">
        <v>0.72499999999999998</v>
      </c>
      <c r="BP40" s="69">
        <v>0.72499999999999998</v>
      </c>
      <c r="BQ40" s="70">
        <v>0.79999999999999993</v>
      </c>
      <c r="BR40" s="68">
        <v>0.72499999999999998</v>
      </c>
      <c r="BS40" s="69">
        <v>0.72499999999999998</v>
      </c>
      <c r="BT40" s="70">
        <v>0.79999999999999993</v>
      </c>
      <c r="BU40" s="68">
        <v>0.67499999999999993</v>
      </c>
      <c r="BV40" s="69">
        <v>0.64999999999999991</v>
      </c>
      <c r="BW40" s="70">
        <v>0.72499999999999987</v>
      </c>
    </row>
    <row r="41" spans="3:75" ht="16.5" thickBot="1">
      <c r="C41" s="57" t="s">
        <v>43</v>
      </c>
      <c r="D41" s="57" t="s">
        <v>47</v>
      </c>
      <c r="E41" s="58">
        <v>5</v>
      </c>
      <c r="F41" s="58" t="str">
        <f t="shared" si="0"/>
        <v>FNFB5</v>
      </c>
      <c r="G41" s="58">
        <v>680</v>
      </c>
      <c r="H41" s="58" t="str">
        <f t="shared" si="6"/>
        <v>FNFB56801</v>
      </c>
      <c r="I41" s="58">
        <v>1</v>
      </c>
      <c r="J41" s="59">
        <v>150000</v>
      </c>
      <c r="K41" s="59">
        <v>999999</v>
      </c>
      <c r="L41" s="72">
        <f>+IFERROR(BF41+'[1]Master Sizer Inputs'!$T$29,"N/A")</f>
        <v>0.77500000000000002</v>
      </c>
      <c r="M41" s="73">
        <f>+IFERROR(BG41+'[1]Master Sizer Inputs'!$T$29,"N/A")</f>
        <v>0.72499999999999998</v>
      </c>
      <c r="N41" s="74">
        <f>+IFERROR(BH41+'[1]Master Sizer Inputs'!$T$29,"N/A")</f>
        <v>0.82499999999999996</v>
      </c>
      <c r="O41" s="72">
        <f>+IFERROR(BI41+'[1]Master Sizer Inputs'!$T$29,"N/A")</f>
        <v>0.77500000000000002</v>
      </c>
      <c r="P41" s="73">
        <f>+IFERROR(BJ41+'[1]Master Sizer Inputs'!$T$29,"N/A")</f>
        <v>0.72499999999999998</v>
      </c>
      <c r="Q41" s="74">
        <f>+IFERROR(BK41+'[1]Master Sizer Inputs'!$T$29,"N/A")</f>
        <v>0.82499999999999996</v>
      </c>
      <c r="R41" s="72">
        <f>+IFERROR(BL41+'[1]Master Sizer Inputs'!$T$29,"N/A")</f>
        <v>0.77500000000000002</v>
      </c>
      <c r="S41" s="73">
        <f>+IFERROR(BM41+'[1]Master Sizer Inputs'!$T$29,"N/A")</f>
        <v>0.72499999999999998</v>
      </c>
      <c r="T41" s="74">
        <f>+IFERROR(BN41+'[1]Master Sizer Inputs'!$T$29,"N/A")</f>
        <v>0.79999999999999993</v>
      </c>
      <c r="U41" s="72">
        <f>+IFERROR(BO41+'[1]Master Sizer Inputs'!$T$29,"N/A")</f>
        <v>0.72499999999999998</v>
      </c>
      <c r="V41" s="73">
        <f>+IFERROR(BP41+'[1]Master Sizer Inputs'!$T$29,"N/A")</f>
        <v>0.72499999999999998</v>
      </c>
      <c r="W41" s="74">
        <f>+IFERROR(BQ41+'[1]Master Sizer Inputs'!$T$29,"N/A")</f>
        <v>0.79999999999999993</v>
      </c>
      <c r="X41" s="72">
        <f>+IFERROR(BR41+'[1]Master Sizer Inputs'!$T$29,"N/A")</f>
        <v>0.72499999999999998</v>
      </c>
      <c r="Y41" s="73">
        <f>+IFERROR(BS41+'[1]Master Sizer Inputs'!$T$29,"N/A")</f>
        <v>0.72499999999999998</v>
      </c>
      <c r="Z41" s="74">
        <f>+IFERROR(BT41+'[1]Master Sizer Inputs'!$T$29,"N/A")</f>
        <v>0.79999999999999993</v>
      </c>
      <c r="AA41" s="72">
        <f>+IFERROR(BU41+'[1]Master Sizer Inputs'!$T$29,"N/A")</f>
        <v>0.67499999999999993</v>
      </c>
      <c r="AB41" s="72">
        <f>+IFERROR(BV41+'[1]Master Sizer Inputs'!$T$29,"N/A")</f>
        <v>0.67499999999999993</v>
      </c>
      <c r="AC41" s="74">
        <f>+IFERROR(BW41+'[1]Master Sizer Inputs'!$T$29,"N/A")</f>
        <v>0.72499999999999987</v>
      </c>
      <c r="AD41" s="63">
        <f t="shared" si="1"/>
        <v>0</v>
      </c>
      <c r="AE41" s="63">
        <v>7.4999999999999997E-3</v>
      </c>
      <c r="AF41" s="63">
        <f t="shared" si="7"/>
        <v>9.5290000000000014E-2</v>
      </c>
      <c r="AG41" s="63">
        <f>$AO$26+(7*$AO$32)</f>
        <v>9.5290000000000014E-2</v>
      </c>
      <c r="AH41" s="63">
        <f t="shared" si="2"/>
        <v>9.5790000000000014E-2</v>
      </c>
      <c r="AI41" s="63">
        <f>$AO$26+(7*$AO$32)+(0*$AO$31)+(1*$AO$30)</f>
        <v>9.5790000000000014E-2</v>
      </c>
      <c r="AJ41" s="63">
        <f t="shared" si="3"/>
        <v>9.6290000000000014E-2</v>
      </c>
      <c r="AK41" s="200">
        <f>$AO$26+(7*$AO$32)+(0*$AO$31)+(2*$AO$30)</f>
        <v>9.6290000000000014E-2</v>
      </c>
      <c r="BF41" s="72">
        <v>0.77500000000000002</v>
      </c>
      <c r="BG41" s="73">
        <v>0.72499999999999998</v>
      </c>
      <c r="BH41" s="74">
        <v>0.82499999999999996</v>
      </c>
      <c r="BI41" s="72">
        <v>0.77500000000000002</v>
      </c>
      <c r="BJ41" s="73">
        <v>0.72499999999999998</v>
      </c>
      <c r="BK41" s="74">
        <v>0.82499999999999996</v>
      </c>
      <c r="BL41" s="72">
        <v>0.77500000000000002</v>
      </c>
      <c r="BM41" s="73">
        <v>0.72499999999999998</v>
      </c>
      <c r="BN41" s="74">
        <v>0.79999999999999993</v>
      </c>
      <c r="BO41" s="72">
        <v>0.72499999999999998</v>
      </c>
      <c r="BP41" s="73">
        <v>0.72499999999999998</v>
      </c>
      <c r="BQ41" s="74">
        <v>0.79999999999999993</v>
      </c>
      <c r="BR41" s="72">
        <v>0.72499999999999998</v>
      </c>
      <c r="BS41" s="73">
        <v>0.72499999999999998</v>
      </c>
      <c r="BT41" s="74">
        <v>0.79999999999999993</v>
      </c>
      <c r="BU41" s="72">
        <v>0.67499999999999993</v>
      </c>
      <c r="BV41" s="73">
        <v>0.67499999999999993</v>
      </c>
      <c r="BW41" s="74">
        <v>0.72499999999999987</v>
      </c>
    </row>
    <row r="42" spans="3:75">
      <c r="C42" s="24" t="s">
        <v>43</v>
      </c>
      <c r="D42" s="24" t="s">
        <v>48</v>
      </c>
      <c r="E42" s="25">
        <v>3</v>
      </c>
      <c r="F42" s="25" t="str">
        <f t="shared" si="0"/>
        <v>FNFC3</v>
      </c>
      <c r="G42" s="25">
        <v>740</v>
      </c>
      <c r="H42" s="25" t="str">
        <f t="shared" si="6"/>
        <v>FNFC37404</v>
      </c>
      <c r="I42" s="25">
        <v>4</v>
      </c>
      <c r="J42" s="26">
        <v>3500000</v>
      </c>
      <c r="K42" s="26">
        <v>4999999</v>
      </c>
      <c r="L42" s="75" t="str">
        <f>+IFERROR(BF42+'[1]Master Sizer Inputs'!$T$29,"N/A")</f>
        <v>N/A</v>
      </c>
      <c r="M42" s="76" t="str">
        <f>+IFERROR(BG42+'[1]Master Sizer Inputs'!$T$29,"N/A")</f>
        <v>N/A</v>
      </c>
      <c r="N42" s="77" t="str">
        <f>+IFERROR(BH42+'[1]Master Sizer Inputs'!$T$29,"N/A")</f>
        <v>N/A</v>
      </c>
      <c r="O42" s="75" t="str">
        <f>+IFERROR(BI42+'[1]Master Sizer Inputs'!$T$29,"N/A")</f>
        <v>N/A</v>
      </c>
      <c r="P42" s="76" t="str">
        <f>+IFERROR(BJ42+'[1]Master Sizer Inputs'!$T$29,"N/A")</f>
        <v>N/A</v>
      </c>
      <c r="Q42" s="77" t="str">
        <f>+IFERROR(BK42+'[1]Master Sizer Inputs'!$T$29,"N/A")</f>
        <v>N/A</v>
      </c>
      <c r="R42" s="75" t="str">
        <f>+IFERROR(BL42+'[1]Master Sizer Inputs'!$T$29,"N/A")</f>
        <v>N/A</v>
      </c>
      <c r="S42" s="76" t="str">
        <f>+IFERROR(BM42+'[1]Master Sizer Inputs'!$T$29,"N/A")</f>
        <v>N/A</v>
      </c>
      <c r="T42" s="77" t="str">
        <f>+IFERROR(BN42+'[1]Master Sizer Inputs'!$T$29,"N/A")</f>
        <v>N/A</v>
      </c>
      <c r="U42" s="75" t="str">
        <f>+IFERROR(BO42+'[1]Master Sizer Inputs'!$T$29,"N/A")</f>
        <v>N/A</v>
      </c>
      <c r="V42" s="76" t="str">
        <f>+IFERROR(BP42+'[1]Master Sizer Inputs'!$T$29,"N/A")</f>
        <v>N/A</v>
      </c>
      <c r="W42" s="77" t="str">
        <f>+IFERROR(BQ42+'[1]Master Sizer Inputs'!$T$29,"N/A")</f>
        <v>N/A</v>
      </c>
      <c r="X42" s="75" t="str">
        <f>+IFERROR(BR42+'[1]Master Sizer Inputs'!$T$29,"N/A")</f>
        <v>N/A</v>
      </c>
      <c r="Y42" s="76" t="str">
        <f>+IFERROR(BS42+'[1]Master Sizer Inputs'!$T$29,"N/A")</f>
        <v>N/A</v>
      </c>
      <c r="Z42" s="77" t="str">
        <f>+IFERROR(BT42+'[1]Master Sizer Inputs'!$T$29,"N/A")</f>
        <v>N/A</v>
      </c>
      <c r="AA42" s="75" t="str">
        <f>+IFERROR(BU42+'[1]Master Sizer Inputs'!$T$29,"N/A")</f>
        <v>N/A</v>
      </c>
      <c r="AB42" s="75" t="str">
        <f>+IFERROR(BV42+'[1]Master Sizer Inputs'!$T$29,"N/A")</f>
        <v>N/A</v>
      </c>
      <c r="AC42" s="77" t="str">
        <f>+IFERROR(BW42+'[1]Master Sizer Inputs'!$T$29,"N/A")</f>
        <v>N/A</v>
      </c>
      <c r="AD42" s="30">
        <f t="shared" si="1"/>
        <v>0</v>
      </c>
      <c r="AE42" s="30">
        <v>7.4999999999999997E-3</v>
      </c>
      <c r="AF42" s="30">
        <f t="shared" si="7"/>
        <v>0.10154000000000002</v>
      </c>
      <c r="AG42" s="30">
        <f>$AO$26+(8*$AO$32)+(2*$AO$31)</f>
        <v>0.10154000000000001</v>
      </c>
      <c r="AH42" s="30">
        <f t="shared" ref="AH42:AH65" si="8">+AF42+$AO$30</f>
        <v>0.10204000000000002</v>
      </c>
      <c r="AI42" s="30">
        <f>$AO$26+(8*$AO$32)+(2*$AO$31)+(1*$AO$30)</f>
        <v>0.10204000000000001</v>
      </c>
      <c r="AJ42" s="30">
        <f t="shared" ref="AJ42:AJ65" si="9">+AH42+$AO$30</f>
        <v>0.10254000000000002</v>
      </c>
      <c r="AK42" s="197">
        <f>$AO$26+(8*$AO$32)+(2*$AO$31)+(2*$AO$30)</f>
        <v>0.10254000000000001</v>
      </c>
      <c r="BF42" s="75" t="s">
        <v>62</v>
      </c>
      <c r="BG42" s="76" t="s">
        <v>62</v>
      </c>
      <c r="BH42" s="77" t="s">
        <v>62</v>
      </c>
      <c r="BI42" s="75" t="s">
        <v>62</v>
      </c>
      <c r="BJ42" s="76" t="s">
        <v>62</v>
      </c>
      <c r="BK42" s="77" t="s">
        <v>62</v>
      </c>
      <c r="BL42" s="75" t="s">
        <v>62</v>
      </c>
      <c r="BM42" s="76" t="s">
        <v>62</v>
      </c>
      <c r="BN42" s="77" t="s">
        <v>62</v>
      </c>
      <c r="BO42" s="75" t="s">
        <v>62</v>
      </c>
      <c r="BP42" s="76" t="s">
        <v>62</v>
      </c>
      <c r="BQ42" s="77" t="s">
        <v>62</v>
      </c>
      <c r="BR42" s="75" t="s">
        <v>62</v>
      </c>
      <c r="BS42" s="76" t="s">
        <v>62</v>
      </c>
      <c r="BT42" s="77" t="s">
        <v>62</v>
      </c>
      <c r="BU42" s="75" t="s">
        <v>62</v>
      </c>
      <c r="BV42" s="76" t="s">
        <v>62</v>
      </c>
      <c r="BW42" s="77" t="s">
        <v>62</v>
      </c>
    </row>
    <row r="43" spans="3:75">
      <c r="C43" s="24" t="s">
        <v>43</v>
      </c>
      <c r="D43" s="24" t="s">
        <v>48</v>
      </c>
      <c r="E43" s="25">
        <v>3</v>
      </c>
      <c r="F43" s="25" t="str">
        <f t="shared" si="0"/>
        <v>FNFC3</v>
      </c>
      <c r="G43" s="25">
        <v>740</v>
      </c>
      <c r="H43" s="25" t="str">
        <f t="shared" si="6"/>
        <v>FNFC37403</v>
      </c>
      <c r="I43" s="25">
        <v>3</v>
      </c>
      <c r="J43" s="26">
        <v>2000000</v>
      </c>
      <c r="K43" s="26">
        <v>3499999</v>
      </c>
      <c r="L43" s="75">
        <f>+IFERROR(BF43+'[1]Master Sizer Inputs'!$T$29,"N/A")</f>
        <v>0.79999999999999993</v>
      </c>
      <c r="M43" s="76">
        <f>+IFERROR(BG43+'[1]Master Sizer Inputs'!$T$29,"N/A")</f>
        <v>0.75</v>
      </c>
      <c r="N43" s="77">
        <f>+IFERROR(BH43+'[1]Master Sizer Inputs'!$T$29,"N/A")</f>
        <v>0.85</v>
      </c>
      <c r="O43" s="75">
        <f>+IFERROR(BI43+'[1]Master Sizer Inputs'!$T$29,"N/A")</f>
        <v>0.79999999999999993</v>
      </c>
      <c r="P43" s="76">
        <f>+IFERROR(BJ43+'[1]Master Sizer Inputs'!$T$29,"N/A")</f>
        <v>0.75</v>
      </c>
      <c r="Q43" s="77">
        <f>+IFERROR(BK43+'[1]Master Sizer Inputs'!$T$29,"N/A")</f>
        <v>0.85</v>
      </c>
      <c r="R43" s="75">
        <f>+IFERROR(BL43+'[1]Master Sizer Inputs'!$T$29,"N/A")</f>
        <v>0.77500000000000002</v>
      </c>
      <c r="S43" s="76">
        <f>+IFERROR(BM43+'[1]Master Sizer Inputs'!$T$29,"N/A")</f>
        <v>0.75</v>
      </c>
      <c r="T43" s="77">
        <f>+IFERROR(BN43+'[1]Master Sizer Inputs'!$T$29,"N/A")</f>
        <v>0.82499999999999996</v>
      </c>
      <c r="U43" s="75">
        <f>+IFERROR(BO43+'[1]Master Sizer Inputs'!$T$29,"N/A")</f>
        <v>0.72499999999999998</v>
      </c>
      <c r="V43" s="76">
        <f>+IFERROR(BP43+'[1]Master Sizer Inputs'!$T$29,"N/A")</f>
        <v>0.72499999999999998</v>
      </c>
      <c r="W43" s="77">
        <f>+IFERROR(BQ43+'[1]Master Sizer Inputs'!$T$29,"N/A")</f>
        <v>0.82499999999999996</v>
      </c>
      <c r="X43" s="75">
        <f>+IFERROR(BR43+'[1]Master Sizer Inputs'!$T$29,"N/A")</f>
        <v>0.72499999999999998</v>
      </c>
      <c r="Y43" s="76">
        <f>+IFERROR(BS43+'[1]Master Sizer Inputs'!$T$29,"N/A")</f>
        <v>0.72499999999999998</v>
      </c>
      <c r="Z43" s="77">
        <f>+IFERROR(BT43+'[1]Master Sizer Inputs'!$T$29,"N/A")</f>
        <v>0.82499999999999996</v>
      </c>
      <c r="AA43" s="75">
        <f>+IFERROR(BU43+'[1]Master Sizer Inputs'!$T$29,"N/A")</f>
        <v>0.67499999999999993</v>
      </c>
      <c r="AB43" s="75">
        <f>+IFERROR(BV43+'[1]Master Sizer Inputs'!$T$29,"N/A")</f>
        <v>0.67499999999999993</v>
      </c>
      <c r="AC43" s="77">
        <f>+IFERROR(BW43+'[1]Master Sizer Inputs'!$T$29,"N/A")</f>
        <v>0.74999999999999989</v>
      </c>
      <c r="AD43" s="30">
        <f t="shared" si="1"/>
        <v>0</v>
      </c>
      <c r="AE43" s="30">
        <v>7.4999999999999997E-3</v>
      </c>
      <c r="AF43" s="30">
        <f t="shared" si="7"/>
        <v>9.9040000000000017E-2</v>
      </c>
      <c r="AG43" s="30">
        <f>$AO$26+(8*$AO$32)+(1*$AO$31)</f>
        <v>9.9040000000000003E-2</v>
      </c>
      <c r="AH43" s="30">
        <f t="shared" si="8"/>
        <v>9.9540000000000017E-2</v>
      </c>
      <c r="AI43" s="30">
        <f>$AO$26+(8*$AO$32)+(1*$AO$31)+(1*$AO$30)</f>
        <v>9.9540000000000003E-2</v>
      </c>
      <c r="AJ43" s="30">
        <f t="shared" si="9"/>
        <v>0.10004000000000002</v>
      </c>
      <c r="AK43" s="197">
        <f>$AO$26+(8*$AO$32)+(1*$AO$31)+(2*$AO$30)</f>
        <v>0.10004</v>
      </c>
      <c r="BF43" s="75">
        <v>0.79999999999999993</v>
      </c>
      <c r="BG43" s="76">
        <v>0.75</v>
      </c>
      <c r="BH43" s="77">
        <v>0.85</v>
      </c>
      <c r="BI43" s="75">
        <v>0.79999999999999993</v>
      </c>
      <c r="BJ43" s="76">
        <v>0.75</v>
      </c>
      <c r="BK43" s="77">
        <v>0.85</v>
      </c>
      <c r="BL43" s="75">
        <v>0.77500000000000002</v>
      </c>
      <c r="BM43" s="76">
        <v>0.75</v>
      </c>
      <c r="BN43" s="77">
        <v>0.82499999999999996</v>
      </c>
      <c r="BO43" s="75">
        <v>0.72499999999999998</v>
      </c>
      <c r="BP43" s="76">
        <v>0.72499999999999998</v>
      </c>
      <c r="BQ43" s="77">
        <v>0.82499999999999996</v>
      </c>
      <c r="BR43" s="75">
        <v>0.72499999999999998</v>
      </c>
      <c r="BS43" s="76">
        <v>0.72499999999999998</v>
      </c>
      <c r="BT43" s="77">
        <v>0.82499999999999996</v>
      </c>
      <c r="BU43" s="75">
        <v>0.67499999999999993</v>
      </c>
      <c r="BV43" s="76">
        <v>0.67499999999999993</v>
      </c>
      <c r="BW43" s="77">
        <v>0.74999999999999989</v>
      </c>
    </row>
    <row r="44" spans="3:75">
      <c r="C44" s="24" t="s">
        <v>43</v>
      </c>
      <c r="D44" s="24" t="s">
        <v>48</v>
      </c>
      <c r="E44" s="25">
        <v>3</v>
      </c>
      <c r="F44" s="25" t="str">
        <f t="shared" si="0"/>
        <v>FNFC3</v>
      </c>
      <c r="G44" s="25">
        <v>740</v>
      </c>
      <c r="H44" s="25" t="str">
        <f t="shared" si="6"/>
        <v>FNFC37402</v>
      </c>
      <c r="I44" s="25">
        <v>2</v>
      </c>
      <c r="J44" s="26">
        <v>1000000</v>
      </c>
      <c r="K44" s="26">
        <v>1999999</v>
      </c>
      <c r="L44" s="27">
        <f>+IFERROR(BF44+'[1]Master Sizer Inputs'!$T$29,"N/A")</f>
        <v>0.8</v>
      </c>
      <c r="M44" s="28">
        <f>+IFERROR(BG44+'[1]Master Sizer Inputs'!$T$29,"N/A")</f>
        <v>0.75</v>
      </c>
      <c r="N44" s="29">
        <f>+IFERROR(BH44+'[1]Master Sizer Inputs'!$T$29,"N/A")</f>
        <v>0.85</v>
      </c>
      <c r="O44" s="27">
        <f>+IFERROR(BI44+'[1]Master Sizer Inputs'!$T$29,"N/A")</f>
        <v>0.8</v>
      </c>
      <c r="P44" s="28">
        <f>+IFERROR(BJ44+'[1]Master Sizer Inputs'!$T$29,"N/A")</f>
        <v>0.75</v>
      </c>
      <c r="Q44" s="29">
        <f>+IFERROR(BK44+'[1]Master Sizer Inputs'!$T$29,"N/A")</f>
        <v>0.85</v>
      </c>
      <c r="R44" s="27">
        <f>+IFERROR(BL44+'[1]Master Sizer Inputs'!$T$29,"N/A")</f>
        <v>0.8</v>
      </c>
      <c r="S44" s="28">
        <f>+IFERROR(BM44+'[1]Master Sizer Inputs'!$T$29,"N/A")</f>
        <v>0.75</v>
      </c>
      <c r="T44" s="29">
        <f>+IFERROR(BN44+'[1]Master Sizer Inputs'!$T$29,"N/A")</f>
        <v>0.82499999999999996</v>
      </c>
      <c r="U44" s="27">
        <f>+IFERROR(BO44+'[1]Master Sizer Inputs'!$T$29,"N/A")</f>
        <v>0.75</v>
      </c>
      <c r="V44" s="28">
        <f>+IFERROR(BP44+'[1]Master Sizer Inputs'!$T$29,"N/A")</f>
        <v>0.75</v>
      </c>
      <c r="W44" s="29">
        <f>+IFERROR(BQ44+'[1]Master Sizer Inputs'!$T$29,"N/A")</f>
        <v>0.82499999999999996</v>
      </c>
      <c r="X44" s="27">
        <f>+IFERROR(BR44+'[1]Master Sizer Inputs'!$T$29,"N/A")</f>
        <v>0.75</v>
      </c>
      <c r="Y44" s="28">
        <f>+IFERROR(BS44+'[1]Master Sizer Inputs'!$T$29,"N/A")</f>
        <v>0.75</v>
      </c>
      <c r="Z44" s="29">
        <f>+IFERROR(BT44+'[1]Master Sizer Inputs'!$T$29,"N/A")</f>
        <v>0.82499999999999996</v>
      </c>
      <c r="AA44" s="27">
        <f>+IFERROR(BU44+'[1]Master Sizer Inputs'!$T$29,"N/A")</f>
        <v>0.7</v>
      </c>
      <c r="AB44" s="27">
        <f>+IFERROR(BV44+'[1]Master Sizer Inputs'!$T$29,"N/A")</f>
        <v>0.7</v>
      </c>
      <c r="AC44" s="29">
        <f>+IFERROR(BW44+'[1]Master Sizer Inputs'!$T$29,"N/A")</f>
        <v>0.74999999999999989</v>
      </c>
      <c r="AD44" s="30">
        <f t="shared" si="1"/>
        <v>0</v>
      </c>
      <c r="AE44" s="30">
        <v>7.4999999999999997E-3</v>
      </c>
      <c r="AF44" s="30">
        <f t="shared" si="7"/>
        <v>9.6540000000000015E-2</v>
      </c>
      <c r="AG44" s="30">
        <f>$AO$26+(8*$AO$32)</f>
        <v>9.6540000000000001E-2</v>
      </c>
      <c r="AH44" s="30">
        <f t="shared" si="8"/>
        <v>9.7040000000000015E-2</v>
      </c>
      <c r="AI44" s="30">
        <f>$AO$26+(8*$AO$32)+(0*$AO$31)+(1*$AO$30)</f>
        <v>9.7040000000000001E-2</v>
      </c>
      <c r="AJ44" s="30">
        <f t="shared" si="9"/>
        <v>9.7540000000000016E-2</v>
      </c>
      <c r="AK44" s="197">
        <f>$AO$26+(8*$AO$32)+(0*$AO$31)+(2*$AO$30)</f>
        <v>9.7540000000000002E-2</v>
      </c>
      <c r="BF44" s="27">
        <v>0.8</v>
      </c>
      <c r="BG44" s="28">
        <v>0.75</v>
      </c>
      <c r="BH44" s="29">
        <v>0.85</v>
      </c>
      <c r="BI44" s="27">
        <v>0.8</v>
      </c>
      <c r="BJ44" s="28">
        <v>0.75</v>
      </c>
      <c r="BK44" s="29">
        <v>0.85</v>
      </c>
      <c r="BL44" s="27">
        <v>0.8</v>
      </c>
      <c r="BM44" s="28">
        <v>0.75</v>
      </c>
      <c r="BN44" s="29">
        <v>0.82499999999999996</v>
      </c>
      <c r="BO44" s="27">
        <v>0.75</v>
      </c>
      <c r="BP44" s="28">
        <v>0.75</v>
      </c>
      <c r="BQ44" s="29">
        <v>0.82499999999999996</v>
      </c>
      <c r="BR44" s="27">
        <v>0.75</v>
      </c>
      <c r="BS44" s="28">
        <v>0.75</v>
      </c>
      <c r="BT44" s="29">
        <v>0.82499999999999996</v>
      </c>
      <c r="BU44" s="27">
        <v>0.7</v>
      </c>
      <c r="BV44" s="28">
        <v>0.7</v>
      </c>
      <c r="BW44" s="29">
        <v>0.74999999999999989</v>
      </c>
    </row>
    <row r="45" spans="3:75" ht="16.5" thickBot="1">
      <c r="C45" s="24" t="s">
        <v>43</v>
      </c>
      <c r="D45" s="24" t="s">
        <v>48</v>
      </c>
      <c r="E45" s="25">
        <v>3</v>
      </c>
      <c r="F45" s="25" t="str">
        <f t="shared" si="0"/>
        <v>FNFC3</v>
      </c>
      <c r="G45" s="25">
        <v>740</v>
      </c>
      <c r="H45" s="25" t="str">
        <f t="shared" si="6"/>
        <v>FNFC37401</v>
      </c>
      <c r="I45" s="25">
        <v>1</v>
      </c>
      <c r="J45" s="26">
        <v>150000</v>
      </c>
      <c r="K45" s="26">
        <v>999999</v>
      </c>
      <c r="L45" s="35">
        <f>+IFERROR(BF45+'[1]Master Sizer Inputs'!$T$29,"N/A")</f>
        <v>0.8</v>
      </c>
      <c r="M45" s="36">
        <f>+IFERROR(BG45+'[1]Master Sizer Inputs'!$T$29,"N/A")</f>
        <v>0.75</v>
      </c>
      <c r="N45" s="37">
        <f>+IFERROR(BH45+'[1]Master Sizer Inputs'!$T$29,"N/A")</f>
        <v>0.85</v>
      </c>
      <c r="O45" s="35">
        <f>+IFERROR(BI45+'[1]Master Sizer Inputs'!$T$29,"N/A")</f>
        <v>0.8</v>
      </c>
      <c r="P45" s="36">
        <f>+IFERROR(BJ45+'[1]Master Sizer Inputs'!$T$29,"N/A")</f>
        <v>0.75</v>
      </c>
      <c r="Q45" s="37">
        <f>+IFERROR(BK45+'[1]Master Sizer Inputs'!$T$29,"N/A")</f>
        <v>0.85</v>
      </c>
      <c r="R45" s="35">
        <f>+IFERROR(BL45+'[1]Master Sizer Inputs'!$T$29,"N/A")</f>
        <v>0.8</v>
      </c>
      <c r="S45" s="36">
        <f>+IFERROR(BM45+'[1]Master Sizer Inputs'!$T$29,"N/A")</f>
        <v>0.75</v>
      </c>
      <c r="T45" s="37">
        <f>+IFERROR(BN45+'[1]Master Sizer Inputs'!$T$29,"N/A")</f>
        <v>0.82499999999999996</v>
      </c>
      <c r="U45" s="35">
        <f>+IFERROR(BO45+'[1]Master Sizer Inputs'!$T$29,"N/A")</f>
        <v>0.75</v>
      </c>
      <c r="V45" s="36">
        <f>+IFERROR(BP45+'[1]Master Sizer Inputs'!$T$29,"N/A")</f>
        <v>0.75</v>
      </c>
      <c r="W45" s="37">
        <f>+IFERROR(BQ45+'[1]Master Sizer Inputs'!$T$29,"N/A")</f>
        <v>0.82499999999999996</v>
      </c>
      <c r="X45" s="35">
        <f>+IFERROR(BR45+'[1]Master Sizer Inputs'!$T$29,"N/A")</f>
        <v>0.75</v>
      </c>
      <c r="Y45" s="36">
        <f>+IFERROR(BS45+'[1]Master Sizer Inputs'!$T$29,"N/A")</f>
        <v>0.75</v>
      </c>
      <c r="Z45" s="37">
        <f>+IFERROR(BT45+'[1]Master Sizer Inputs'!$T$29,"N/A")</f>
        <v>0.82499999999999996</v>
      </c>
      <c r="AA45" s="35">
        <f>+IFERROR(BU45+'[1]Master Sizer Inputs'!$T$29,"N/A")</f>
        <v>0.7</v>
      </c>
      <c r="AB45" s="35">
        <f>+IFERROR(BV45+'[1]Master Sizer Inputs'!$T$29,"N/A")</f>
        <v>0.7</v>
      </c>
      <c r="AC45" s="37">
        <f>+IFERROR(BW45+'[1]Master Sizer Inputs'!$T$29,"N/A")</f>
        <v>0.74999999999999989</v>
      </c>
      <c r="AD45" s="30">
        <f t="shared" si="1"/>
        <v>0</v>
      </c>
      <c r="AE45" s="30">
        <v>7.4999999999999997E-3</v>
      </c>
      <c r="AF45" s="30">
        <f t="shared" si="7"/>
        <v>9.6540000000000015E-2</v>
      </c>
      <c r="AG45" s="30">
        <f>$AO$26+(8*$AO$32)</f>
        <v>9.6540000000000001E-2</v>
      </c>
      <c r="AH45" s="30">
        <f t="shared" si="8"/>
        <v>9.7040000000000015E-2</v>
      </c>
      <c r="AI45" s="30">
        <f>$AO$26+(8*$AO$32)+(0*$AO$31)+(1*$AO$30)</f>
        <v>9.7040000000000001E-2</v>
      </c>
      <c r="AJ45" s="30">
        <f t="shared" si="9"/>
        <v>9.7540000000000016E-2</v>
      </c>
      <c r="AK45" s="197">
        <f>$AO$26+(8*$AO$32)+(0*$AO$31)+(2*$AO$30)</f>
        <v>9.7540000000000002E-2</v>
      </c>
      <c r="AN45" s="89" t="s">
        <v>63</v>
      </c>
      <c r="BF45" s="35">
        <v>0.8</v>
      </c>
      <c r="BG45" s="36">
        <v>0.75</v>
      </c>
      <c r="BH45" s="37">
        <v>0.85</v>
      </c>
      <c r="BI45" s="35">
        <v>0.8</v>
      </c>
      <c r="BJ45" s="36">
        <v>0.75</v>
      </c>
      <c r="BK45" s="37">
        <v>0.85</v>
      </c>
      <c r="BL45" s="35">
        <v>0.8</v>
      </c>
      <c r="BM45" s="36">
        <v>0.75</v>
      </c>
      <c r="BN45" s="37">
        <v>0.82499999999999996</v>
      </c>
      <c r="BO45" s="35">
        <v>0.75</v>
      </c>
      <c r="BP45" s="36">
        <v>0.75</v>
      </c>
      <c r="BQ45" s="37">
        <v>0.82499999999999996</v>
      </c>
      <c r="BR45" s="35">
        <v>0.75</v>
      </c>
      <c r="BS45" s="36">
        <v>0.75</v>
      </c>
      <c r="BT45" s="37">
        <v>0.82499999999999996</v>
      </c>
      <c r="BU45" s="35">
        <v>0.7</v>
      </c>
      <c r="BV45" s="36">
        <v>0.7</v>
      </c>
      <c r="BW45" s="37">
        <v>0.74999999999999989</v>
      </c>
    </row>
    <row r="46" spans="3:75">
      <c r="C46" s="110" t="s">
        <v>43</v>
      </c>
      <c r="D46" s="110" t="s">
        <v>48</v>
      </c>
      <c r="E46" s="111">
        <v>3</v>
      </c>
      <c r="F46" s="111" t="str">
        <f t="shared" si="0"/>
        <v>FNFC3</v>
      </c>
      <c r="G46" s="111">
        <v>720</v>
      </c>
      <c r="H46" s="111" t="str">
        <f t="shared" si="6"/>
        <v>FNFC37204</v>
      </c>
      <c r="I46" s="111">
        <v>4</v>
      </c>
      <c r="J46" s="112">
        <v>3500000</v>
      </c>
      <c r="K46" s="112">
        <v>4999999</v>
      </c>
      <c r="L46" s="120" t="str">
        <f>+IFERROR(BF46+'[1]Master Sizer Inputs'!$T$29,"N/A")</f>
        <v>N/A</v>
      </c>
      <c r="M46" s="121" t="str">
        <f>+IFERROR(BG46+'[1]Master Sizer Inputs'!$T$29,"N/A")</f>
        <v>N/A</v>
      </c>
      <c r="N46" s="122" t="str">
        <f>+IFERROR(BH46+'[1]Master Sizer Inputs'!$T$29,"N/A")</f>
        <v>N/A</v>
      </c>
      <c r="O46" s="120" t="str">
        <f>+IFERROR(BI46+'[1]Master Sizer Inputs'!$T$29,"N/A")</f>
        <v>N/A</v>
      </c>
      <c r="P46" s="121" t="str">
        <f>+IFERROR(BJ46+'[1]Master Sizer Inputs'!$T$29,"N/A")</f>
        <v>N/A</v>
      </c>
      <c r="Q46" s="122" t="str">
        <f>+IFERROR(BK46+'[1]Master Sizer Inputs'!$T$29,"N/A")</f>
        <v>N/A</v>
      </c>
      <c r="R46" s="120" t="str">
        <f>+IFERROR(BL46+'[1]Master Sizer Inputs'!$T$29,"N/A")</f>
        <v>N/A</v>
      </c>
      <c r="S46" s="121" t="str">
        <f>+IFERROR(BM46+'[1]Master Sizer Inputs'!$T$29,"N/A")</f>
        <v>N/A</v>
      </c>
      <c r="T46" s="122" t="str">
        <f>+IFERROR(BN46+'[1]Master Sizer Inputs'!$T$29,"N/A")</f>
        <v>N/A</v>
      </c>
      <c r="U46" s="120" t="str">
        <f>+IFERROR(BO46+'[1]Master Sizer Inputs'!$T$29,"N/A")</f>
        <v>N/A</v>
      </c>
      <c r="V46" s="121" t="str">
        <f>+IFERROR(BP46+'[1]Master Sizer Inputs'!$T$29,"N/A")</f>
        <v>N/A</v>
      </c>
      <c r="W46" s="122" t="str">
        <f>+IFERROR(BQ46+'[1]Master Sizer Inputs'!$T$29,"N/A")</f>
        <v>N/A</v>
      </c>
      <c r="X46" s="120" t="str">
        <f>+IFERROR(BR46+'[1]Master Sizer Inputs'!$T$29,"N/A")</f>
        <v>N/A</v>
      </c>
      <c r="Y46" s="121" t="str">
        <f>+IFERROR(BS46+'[1]Master Sizer Inputs'!$T$29,"N/A")</f>
        <v>N/A</v>
      </c>
      <c r="Z46" s="122" t="str">
        <f>+IFERROR(BT46+'[1]Master Sizer Inputs'!$T$29,"N/A")</f>
        <v>N/A</v>
      </c>
      <c r="AA46" s="120" t="str">
        <f>+IFERROR(BU46+'[1]Master Sizer Inputs'!$T$29,"N/A")</f>
        <v>N/A</v>
      </c>
      <c r="AB46" s="120" t="str">
        <f>+IFERROR(BV46+'[1]Master Sizer Inputs'!$T$29,"N/A")</f>
        <v>N/A</v>
      </c>
      <c r="AC46" s="122" t="str">
        <f>+IFERROR(BW46+'[1]Master Sizer Inputs'!$T$29,"N/A")</f>
        <v>N/A</v>
      </c>
      <c r="AD46" s="116">
        <f t="shared" si="1"/>
        <v>0</v>
      </c>
      <c r="AE46" s="116">
        <v>7.4999999999999997E-3</v>
      </c>
      <c r="AF46" s="116">
        <f t="shared" si="7"/>
        <v>0.10279000000000002</v>
      </c>
      <c r="AG46" s="116">
        <f>$AO$26+(9*$AO$32)+(2*$AO$31)</f>
        <v>0.10279000000000001</v>
      </c>
      <c r="AH46" s="116">
        <f t="shared" si="8"/>
        <v>0.10329000000000002</v>
      </c>
      <c r="AI46" s="116">
        <f>$AO$26+(9*$AO$32)+(2*$AO$31)+(1*$AO$30)</f>
        <v>0.10329000000000001</v>
      </c>
      <c r="AJ46" s="116">
        <f t="shared" si="9"/>
        <v>0.10379000000000002</v>
      </c>
      <c r="AK46" s="198">
        <f>$AO$26+(9*$AO$32)+(2*$AO$31)+(2*$AO$30)</f>
        <v>0.10379000000000001</v>
      </c>
      <c r="AN46" s="34">
        <v>0</v>
      </c>
      <c r="BF46" s="81" t="s">
        <v>62</v>
      </c>
      <c r="BG46" s="82" t="s">
        <v>62</v>
      </c>
      <c r="BH46" s="83" t="s">
        <v>62</v>
      </c>
      <c r="BI46" s="81" t="s">
        <v>62</v>
      </c>
      <c r="BJ46" s="82" t="s">
        <v>62</v>
      </c>
      <c r="BK46" s="83" t="s">
        <v>62</v>
      </c>
      <c r="BL46" s="81" t="s">
        <v>62</v>
      </c>
      <c r="BM46" s="82" t="s">
        <v>62</v>
      </c>
      <c r="BN46" s="83" t="s">
        <v>62</v>
      </c>
      <c r="BO46" s="81" t="s">
        <v>62</v>
      </c>
      <c r="BP46" s="82" t="s">
        <v>62</v>
      </c>
      <c r="BQ46" s="83" t="s">
        <v>62</v>
      </c>
      <c r="BR46" s="81" t="s">
        <v>62</v>
      </c>
      <c r="BS46" s="82" t="s">
        <v>62</v>
      </c>
      <c r="BT46" s="83" t="s">
        <v>62</v>
      </c>
      <c r="BU46" s="81" t="s">
        <v>62</v>
      </c>
      <c r="BV46" s="82" t="s">
        <v>62</v>
      </c>
      <c r="BW46" s="83" t="s">
        <v>62</v>
      </c>
    </row>
    <row r="47" spans="3:75">
      <c r="C47" s="110" t="s">
        <v>43</v>
      </c>
      <c r="D47" s="110" t="s">
        <v>48</v>
      </c>
      <c r="E47" s="111">
        <v>3</v>
      </c>
      <c r="F47" s="111" t="str">
        <f t="shared" si="0"/>
        <v>FNFC3</v>
      </c>
      <c r="G47" s="111">
        <v>720</v>
      </c>
      <c r="H47" s="111" t="str">
        <f t="shared" si="6"/>
        <v>FNFC37203</v>
      </c>
      <c r="I47" s="111">
        <v>3</v>
      </c>
      <c r="J47" s="112">
        <v>2000000</v>
      </c>
      <c r="K47" s="112">
        <v>3499999</v>
      </c>
      <c r="L47" s="120">
        <f>+IFERROR(BF47+'[1]Master Sizer Inputs'!$T$29,"N/A")</f>
        <v>0.79999999999999993</v>
      </c>
      <c r="M47" s="121">
        <f>+IFERROR(BG47+'[1]Master Sizer Inputs'!$T$29,"N/A")</f>
        <v>0.72499999999999998</v>
      </c>
      <c r="N47" s="122">
        <f>+IFERROR(BH47+'[1]Master Sizer Inputs'!$T$29,"N/A")</f>
        <v>0.85</v>
      </c>
      <c r="O47" s="120">
        <f>+IFERROR(BI47+'[1]Master Sizer Inputs'!$T$29,"N/A")</f>
        <v>0.79999999999999993</v>
      </c>
      <c r="P47" s="121">
        <f>+IFERROR(BJ47+'[1]Master Sizer Inputs'!$T$29,"N/A")</f>
        <v>0.72499999999999998</v>
      </c>
      <c r="Q47" s="122">
        <f>+IFERROR(BK47+'[1]Master Sizer Inputs'!$T$29,"N/A")</f>
        <v>0.85</v>
      </c>
      <c r="R47" s="120">
        <f>+IFERROR(BL47+'[1]Master Sizer Inputs'!$T$29,"N/A")</f>
        <v>0.77500000000000002</v>
      </c>
      <c r="S47" s="121">
        <f>+IFERROR(BM47+'[1]Master Sizer Inputs'!$T$29,"N/A")</f>
        <v>0.72499999999999998</v>
      </c>
      <c r="T47" s="122">
        <f>+IFERROR(BN47+'[1]Master Sizer Inputs'!$T$29,"N/A")</f>
        <v>0.82499999999999996</v>
      </c>
      <c r="U47" s="120">
        <f>+IFERROR(BO47+'[1]Master Sizer Inputs'!$T$29,"N/A")</f>
        <v>0.72499999999999998</v>
      </c>
      <c r="V47" s="121">
        <f>+IFERROR(BP47+'[1]Master Sizer Inputs'!$T$29,"N/A")</f>
        <v>0.72499999999999998</v>
      </c>
      <c r="W47" s="122">
        <f>+IFERROR(BQ47+'[1]Master Sizer Inputs'!$T$29,"N/A")</f>
        <v>0.82499999999999996</v>
      </c>
      <c r="X47" s="120">
        <f>+IFERROR(BR47+'[1]Master Sizer Inputs'!$T$29,"N/A")</f>
        <v>0.72499999999999998</v>
      </c>
      <c r="Y47" s="121">
        <f>+IFERROR(BS47+'[1]Master Sizer Inputs'!$T$29,"N/A")</f>
        <v>0.72499999999999998</v>
      </c>
      <c r="Z47" s="122">
        <f>+IFERROR(BT47+'[1]Master Sizer Inputs'!$T$29,"N/A")</f>
        <v>0.82499999999999996</v>
      </c>
      <c r="AA47" s="120">
        <f>+IFERROR(BU47+'[1]Master Sizer Inputs'!$T$29,"N/A")</f>
        <v>0.67499999999999993</v>
      </c>
      <c r="AB47" s="120">
        <f>+IFERROR(BV47+'[1]Master Sizer Inputs'!$T$29,"N/A")</f>
        <v>0.67499999999999993</v>
      </c>
      <c r="AC47" s="122">
        <f>+IFERROR(BW47+'[1]Master Sizer Inputs'!$T$29,"N/A")</f>
        <v>0.74999999999999989</v>
      </c>
      <c r="AD47" s="116">
        <f t="shared" si="1"/>
        <v>0</v>
      </c>
      <c r="AE47" s="116">
        <v>7.4999999999999997E-3</v>
      </c>
      <c r="AF47" s="116">
        <f t="shared" si="7"/>
        <v>0.10029000000000002</v>
      </c>
      <c r="AG47" s="116">
        <f>$AO$26+(9*$AO$32)+(1*$AO$31)</f>
        <v>0.10029</v>
      </c>
      <c r="AH47" s="116">
        <f t="shared" si="8"/>
        <v>0.10079000000000002</v>
      </c>
      <c r="AI47" s="116">
        <f>$AO$26+(9*$AO$32)+(1*$AO$31)+(1*$AO$30)</f>
        <v>0.10079</v>
      </c>
      <c r="AJ47" s="116">
        <f t="shared" si="9"/>
        <v>0.10129000000000002</v>
      </c>
      <c r="AK47" s="198">
        <f>$AO$26+(9*$AO$32)+(1*$AO$31)+(2*$AO$30)</f>
        <v>0.10129000000000001</v>
      </c>
      <c r="AN47" s="34">
        <v>680</v>
      </c>
      <c r="BF47" s="81">
        <v>0.79999999999999993</v>
      </c>
      <c r="BG47" s="82">
        <v>0.72499999999999998</v>
      </c>
      <c r="BH47" s="83">
        <v>0.85</v>
      </c>
      <c r="BI47" s="81">
        <v>0.79999999999999993</v>
      </c>
      <c r="BJ47" s="82">
        <v>0.72499999999999998</v>
      </c>
      <c r="BK47" s="83">
        <v>0.85</v>
      </c>
      <c r="BL47" s="81">
        <v>0.77500000000000002</v>
      </c>
      <c r="BM47" s="82">
        <v>0.72499999999999998</v>
      </c>
      <c r="BN47" s="83">
        <v>0.82499999999999996</v>
      </c>
      <c r="BO47" s="81">
        <v>0.72499999999999998</v>
      </c>
      <c r="BP47" s="82">
        <v>0.72499999999999998</v>
      </c>
      <c r="BQ47" s="83">
        <v>0.82499999999999996</v>
      </c>
      <c r="BR47" s="81">
        <v>0.72499999999999998</v>
      </c>
      <c r="BS47" s="82">
        <v>0.72499999999999998</v>
      </c>
      <c r="BT47" s="83">
        <v>0.82499999999999996</v>
      </c>
      <c r="BU47" s="81">
        <v>0.67499999999999993</v>
      </c>
      <c r="BV47" s="82">
        <v>0.67499999999999993</v>
      </c>
      <c r="BW47" s="83">
        <v>0.74999999999999989</v>
      </c>
    </row>
    <row r="48" spans="3:75">
      <c r="C48" s="110" t="s">
        <v>43</v>
      </c>
      <c r="D48" s="110" t="s">
        <v>48</v>
      </c>
      <c r="E48" s="111">
        <v>3</v>
      </c>
      <c r="F48" s="111" t="str">
        <f t="shared" si="0"/>
        <v>FNFC3</v>
      </c>
      <c r="G48" s="111">
        <v>720</v>
      </c>
      <c r="H48" s="111" t="str">
        <f t="shared" si="6"/>
        <v>FNFC37202</v>
      </c>
      <c r="I48" s="111">
        <v>2</v>
      </c>
      <c r="J48" s="112">
        <v>1000000</v>
      </c>
      <c r="K48" s="112">
        <v>1999999</v>
      </c>
      <c r="L48" s="113">
        <f>+IFERROR(BF48+'[1]Master Sizer Inputs'!$T$29,"N/A")</f>
        <v>0.8</v>
      </c>
      <c r="M48" s="114">
        <f>+IFERROR(BG48+'[1]Master Sizer Inputs'!$T$29,"N/A")</f>
        <v>0.72499999999999998</v>
      </c>
      <c r="N48" s="115">
        <f>+IFERROR(BH48+'[1]Master Sizer Inputs'!$T$29,"N/A")</f>
        <v>0.85</v>
      </c>
      <c r="O48" s="113">
        <f>+IFERROR(BI48+'[1]Master Sizer Inputs'!$T$29,"N/A")</f>
        <v>0.8</v>
      </c>
      <c r="P48" s="114">
        <f>+IFERROR(BJ48+'[1]Master Sizer Inputs'!$T$29,"N/A")</f>
        <v>0.72499999999999998</v>
      </c>
      <c r="Q48" s="115">
        <f>+IFERROR(BK48+'[1]Master Sizer Inputs'!$T$29,"N/A")</f>
        <v>0.85</v>
      </c>
      <c r="R48" s="113">
        <f>+IFERROR(BL48+'[1]Master Sizer Inputs'!$T$29,"N/A")</f>
        <v>0.8</v>
      </c>
      <c r="S48" s="114">
        <f>+IFERROR(BM48+'[1]Master Sizer Inputs'!$T$29,"N/A")</f>
        <v>0.72499999999999998</v>
      </c>
      <c r="T48" s="115">
        <f>+IFERROR(BN48+'[1]Master Sizer Inputs'!$T$29,"N/A")</f>
        <v>0.82499999999999996</v>
      </c>
      <c r="U48" s="113">
        <f>+IFERROR(BO48+'[1]Master Sizer Inputs'!$T$29,"N/A")</f>
        <v>0.75</v>
      </c>
      <c r="V48" s="114">
        <f>+IFERROR(BP48+'[1]Master Sizer Inputs'!$T$29,"N/A")</f>
        <v>0.75</v>
      </c>
      <c r="W48" s="115">
        <f>+IFERROR(BQ48+'[1]Master Sizer Inputs'!$T$29,"N/A")</f>
        <v>0.82499999999999996</v>
      </c>
      <c r="X48" s="113">
        <f>+IFERROR(BR48+'[1]Master Sizer Inputs'!$T$29,"N/A")</f>
        <v>0.75</v>
      </c>
      <c r="Y48" s="114">
        <f>+IFERROR(BS48+'[1]Master Sizer Inputs'!$T$29,"N/A")</f>
        <v>0.75</v>
      </c>
      <c r="Z48" s="115">
        <f>+IFERROR(BT48+'[1]Master Sizer Inputs'!$T$29,"N/A")</f>
        <v>0.82499999999999996</v>
      </c>
      <c r="AA48" s="113">
        <f>+IFERROR(BU48+'[1]Master Sizer Inputs'!$T$29,"N/A")</f>
        <v>0.7</v>
      </c>
      <c r="AB48" s="113">
        <f>+IFERROR(BV48+'[1]Master Sizer Inputs'!$T$29,"N/A")</f>
        <v>0.67499999999999993</v>
      </c>
      <c r="AC48" s="115">
        <f>+IFERROR(BW48+'[1]Master Sizer Inputs'!$T$29,"N/A")</f>
        <v>0.74999999999999989</v>
      </c>
      <c r="AD48" s="116">
        <f t="shared" si="1"/>
        <v>0</v>
      </c>
      <c r="AE48" s="116">
        <v>7.4999999999999997E-3</v>
      </c>
      <c r="AF48" s="116">
        <f t="shared" si="7"/>
        <v>9.7790000000000016E-2</v>
      </c>
      <c r="AG48" s="116">
        <f>$AO$26+(9*$AO$32)</f>
        <v>9.7790000000000002E-2</v>
      </c>
      <c r="AH48" s="116">
        <f t="shared" si="8"/>
        <v>9.8290000000000016E-2</v>
      </c>
      <c r="AI48" s="116">
        <f>$AO$26+(9*$AO$32)+(0*$AO$31)+(1*$AO$30)</f>
        <v>9.8290000000000002E-2</v>
      </c>
      <c r="AJ48" s="116">
        <f t="shared" si="9"/>
        <v>9.8790000000000017E-2</v>
      </c>
      <c r="AK48" s="198">
        <f>$AO$26+(9*$AO$32)+(0*$AO$31)+(2*$AO$30)</f>
        <v>9.8790000000000003E-2</v>
      </c>
      <c r="AN48" s="34">
        <v>700</v>
      </c>
      <c r="BF48" s="39">
        <v>0.8</v>
      </c>
      <c r="BG48" s="40">
        <v>0.72499999999999998</v>
      </c>
      <c r="BH48" s="41">
        <v>0.85</v>
      </c>
      <c r="BI48" s="39">
        <v>0.8</v>
      </c>
      <c r="BJ48" s="40">
        <v>0.72499999999999998</v>
      </c>
      <c r="BK48" s="41">
        <v>0.85</v>
      </c>
      <c r="BL48" s="39">
        <v>0.8</v>
      </c>
      <c r="BM48" s="40">
        <v>0.72499999999999998</v>
      </c>
      <c r="BN48" s="41">
        <v>0.82499999999999996</v>
      </c>
      <c r="BO48" s="39">
        <v>0.75</v>
      </c>
      <c r="BP48" s="40">
        <v>0.75</v>
      </c>
      <c r="BQ48" s="41">
        <v>0.82499999999999996</v>
      </c>
      <c r="BR48" s="39">
        <v>0.75</v>
      </c>
      <c r="BS48" s="40">
        <v>0.75</v>
      </c>
      <c r="BT48" s="41">
        <v>0.82499999999999996</v>
      </c>
      <c r="BU48" s="39">
        <v>0.7</v>
      </c>
      <c r="BV48" s="40">
        <v>0.67499999999999993</v>
      </c>
      <c r="BW48" s="41">
        <v>0.74999999999999989</v>
      </c>
    </row>
    <row r="49" spans="3:75" ht="16.5" thickBot="1">
      <c r="C49" s="110" t="s">
        <v>43</v>
      </c>
      <c r="D49" s="110" t="s">
        <v>48</v>
      </c>
      <c r="E49" s="111">
        <v>3</v>
      </c>
      <c r="F49" s="111" t="str">
        <f t="shared" si="0"/>
        <v>FNFC3</v>
      </c>
      <c r="G49" s="111">
        <v>720</v>
      </c>
      <c r="H49" s="111" t="str">
        <f t="shared" si="6"/>
        <v>FNFC37201</v>
      </c>
      <c r="I49" s="111">
        <v>1</v>
      </c>
      <c r="J49" s="112">
        <v>150000</v>
      </c>
      <c r="K49" s="112">
        <v>999999</v>
      </c>
      <c r="L49" s="117">
        <f>+IFERROR(BF49+'[1]Master Sizer Inputs'!$T$29,"N/A")</f>
        <v>0.8</v>
      </c>
      <c r="M49" s="118">
        <f>+IFERROR(BG49+'[1]Master Sizer Inputs'!$T$29,"N/A")</f>
        <v>0.75</v>
      </c>
      <c r="N49" s="119">
        <f>+IFERROR(BH49+'[1]Master Sizer Inputs'!$T$29,"N/A")</f>
        <v>0.85</v>
      </c>
      <c r="O49" s="117">
        <f>+IFERROR(BI49+'[1]Master Sizer Inputs'!$T$29,"N/A")</f>
        <v>0.8</v>
      </c>
      <c r="P49" s="118">
        <f>+IFERROR(BJ49+'[1]Master Sizer Inputs'!$T$29,"N/A")</f>
        <v>0.75</v>
      </c>
      <c r="Q49" s="119">
        <f>+IFERROR(BK49+'[1]Master Sizer Inputs'!$T$29,"N/A")</f>
        <v>0.85</v>
      </c>
      <c r="R49" s="117">
        <f>+IFERROR(BL49+'[1]Master Sizer Inputs'!$T$29,"N/A")</f>
        <v>0.8</v>
      </c>
      <c r="S49" s="118">
        <f>+IFERROR(BM49+'[1]Master Sizer Inputs'!$T$29,"N/A")</f>
        <v>0.75</v>
      </c>
      <c r="T49" s="119">
        <f>+IFERROR(BN49+'[1]Master Sizer Inputs'!$T$29,"N/A")</f>
        <v>0.82499999999999996</v>
      </c>
      <c r="U49" s="117">
        <f>+IFERROR(BO49+'[1]Master Sizer Inputs'!$T$29,"N/A")</f>
        <v>0.75</v>
      </c>
      <c r="V49" s="118">
        <f>+IFERROR(BP49+'[1]Master Sizer Inputs'!$T$29,"N/A")</f>
        <v>0.75</v>
      </c>
      <c r="W49" s="119">
        <f>+IFERROR(BQ49+'[1]Master Sizer Inputs'!$T$29,"N/A")</f>
        <v>0.82499999999999996</v>
      </c>
      <c r="X49" s="117">
        <f>+IFERROR(BR49+'[1]Master Sizer Inputs'!$T$29,"N/A")</f>
        <v>0.75</v>
      </c>
      <c r="Y49" s="118">
        <f>+IFERROR(BS49+'[1]Master Sizer Inputs'!$T$29,"N/A")</f>
        <v>0.75</v>
      </c>
      <c r="Z49" s="119">
        <f>+IFERROR(BT49+'[1]Master Sizer Inputs'!$T$29,"N/A")</f>
        <v>0.82499999999999996</v>
      </c>
      <c r="AA49" s="117">
        <f>+IFERROR(BU49+'[1]Master Sizer Inputs'!$T$29,"N/A")</f>
        <v>0.7</v>
      </c>
      <c r="AB49" s="117">
        <f>+IFERROR(BV49+'[1]Master Sizer Inputs'!$T$29,"N/A")</f>
        <v>0.7</v>
      </c>
      <c r="AC49" s="119">
        <f>+IFERROR(BW49+'[1]Master Sizer Inputs'!$T$29,"N/A")</f>
        <v>0.74999999999999989</v>
      </c>
      <c r="AD49" s="116">
        <f t="shared" si="1"/>
        <v>0</v>
      </c>
      <c r="AE49" s="116">
        <v>7.4999999999999997E-3</v>
      </c>
      <c r="AF49" s="116">
        <f t="shared" si="7"/>
        <v>9.7790000000000016E-2</v>
      </c>
      <c r="AG49" s="116">
        <f>$AO$26+(9*$AO$32)</f>
        <v>9.7790000000000002E-2</v>
      </c>
      <c r="AH49" s="116">
        <f t="shared" si="8"/>
        <v>9.8290000000000016E-2</v>
      </c>
      <c r="AI49" s="116">
        <f>$AO$26+(9*$AO$32)+(0*$AO$31)+(1*$AO$30)</f>
        <v>9.8290000000000002E-2</v>
      </c>
      <c r="AJ49" s="116">
        <f t="shared" si="9"/>
        <v>9.8790000000000017E-2</v>
      </c>
      <c r="AK49" s="198">
        <f>$AO$26+(9*$AO$32)+(0*$AO$31)+(2*$AO$30)</f>
        <v>9.8790000000000003E-2</v>
      </c>
      <c r="AN49" s="34">
        <v>720</v>
      </c>
      <c r="BF49" s="43">
        <v>0.8</v>
      </c>
      <c r="BG49" s="44">
        <v>0.75</v>
      </c>
      <c r="BH49" s="45">
        <v>0.85</v>
      </c>
      <c r="BI49" s="43">
        <v>0.8</v>
      </c>
      <c r="BJ49" s="44">
        <v>0.75</v>
      </c>
      <c r="BK49" s="45">
        <v>0.85</v>
      </c>
      <c r="BL49" s="43">
        <v>0.8</v>
      </c>
      <c r="BM49" s="44">
        <v>0.75</v>
      </c>
      <c r="BN49" s="45">
        <v>0.82499999999999996</v>
      </c>
      <c r="BO49" s="43">
        <v>0.75</v>
      </c>
      <c r="BP49" s="44">
        <v>0.75</v>
      </c>
      <c r="BQ49" s="45">
        <v>0.82499999999999996</v>
      </c>
      <c r="BR49" s="43">
        <v>0.75</v>
      </c>
      <c r="BS49" s="44">
        <v>0.75</v>
      </c>
      <c r="BT49" s="45">
        <v>0.82499999999999996</v>
      </c>
      <c r="BU49" s="43">
        <v>0.7</v>
      </c>
      <c r="BV49" s="44">
        <v>0.7</v>
      </c>
      <c r="BW49" s="45">
        <v>0.74999999999999989</v>
      </c>
    </row>
    <row r="50" spans="3:75">
      <c r="C50" s="46" t="s">
        <v>43</v>
      </c>
      <c r="D50" s="46" t="s">
        <v>48</v>
      </c>
      <c r="E50" s="47">
        <v>3</v>
      </c>
      <c r="F50" s="47" t="str">
        <f t="shared" si="0"/>
        <v>FNFC3</v>
      </c>
      <c r="G50" s="47">
        <v>700</v>
      </c>
      <c r="H50" s="47" t="str">
        <f t="shared" si="6"/>
        <v>FNFC37004</v>
      </c>
      <c r="I50" s="47">
        <v>4</v>
      </c>
      <c r="J50" s="48">
        <v>3500000</v>
      </c>
      <c r="K50" s="48">
        <v>4999999</v>
      </c>
      <c r="L50" s="84" t="str">
        <f>+IFERROR(BF50+'[1]Master Sizer Inputs'!$T$29,"N/A")</f>
        <v>N/A</v>
      </c>
      <c r="M50" s="85" t="str">
        <f>+IFERROR(BG50+'[1]Master Sizer Inputs'!$T$29,"N/A")</f>
        <v>N/A</v>
      </c>
      <c r="N50" s="86" t="str">
        <f>+IFERROR(BH50+'[1]Master Sizer Inputs'!$T$29,"N/A")</f>
        <v>N/A</v>
      </c>
      <c r="O50" s="84" t="str">
        <f>+IFERROR(BI50+'[1]Master Sizer Inputs'!$T$29,"N/A")</f>
        <v>N/A</v>
      </c>
      <c r="P50" s="85" t="str">
        <f>+IFERROR(BJ50+'[1]Master Sizer Inputs'!$T$29,"N/A")</f>
        <v>N/A</v>
      </c>
      <c r="Q50" s="86" t="str">
        <f>+IFERROR(BK50+'[1]Master Sizer Inputs'!$T$29,"N/A")</f>
        <v>N/A</v>
      </c>
      <c r="R50" s="84" t="str">
        <f>+IFERROR(BL50+'[1]Master Sizer Inputs'!$T$29,"N/A")</f>
        <v>N/A</v>
      </c>
      <c r="S50" s="85" t="str">
        <f>+IFERROR(BM50+'[1]Master Sizer Inputs'!$T$29,"N/A")</f>
        <v>N/A</v>
      </c>
      <c r="T50" s="86" t="str">
        <f>+IFERROR(BN50+'[1]Master Sizer Inputs'!$T$29,"N/A")</f>
        <v>N/A</v>
      </c>
      <c r="U50" s="84" t="str">
        <f>+IFERROR(BO50+'[1]Master Sizer Inputs'!$T$29,"N/A")</f>
        <v>N/A</v>
      </c>
      <c r="V50" s="85" t="str">
        <f>+IFERROR(BP50+'[1]Master Sizer Inputs'!$T$29,"N/A")</f>
        <v>N/A</v>
      </c>
      <c r="W50" s="86" t="str">
        <f>+IFERROR(BQ50+'[1]Master Sizer Inputs'!$T$29,"N/A")</f>
        <v>N/A</v>
      </c>
      <c r="X50" s="84" t="str">
        <f>+IFERROR(BR50+'[1]Master Sizer Inputs'!$T$29,"N/A")</f>
        <v>N/A</v>
      </c>
      <c r="Y50" s="85" t="str">
        <f>+IFERROR(BS50+'[1]Master Sizer Inputs'!$T$29,"N/A")</f>
        <v>N/A</v>
      </c>
      <c r="Z50" s="86" t="str">
        <f>+IFERROR(BT50+'[1]Master Sizer Inputs'!$T$29,"N/A")</f>
        <v>N/A</v>
      </c>
      <c r="AA50" s="84" t="str">
        <f>+IFERROR(BU50+'[1]Master Sizer Inputs'!$T$29,"N/A")</f>
        <v>N/A</v>
      </c>
      <c r="AB50" s="84" t="str">
        <f>+IFERROR(BV50+'[1]Master Sizer Inputs'!$T$29,"N/A")</f>
        <v>N/A</v>
      </c>
      <c r="AC50" s="86" t="str">
        <f>+IFERROR(BW50+'[1]Master Sizer Inputs'!$T$29,"N/A")</f>
        <v>N/A</v>
      </c>
      <c r="AD50" s="52">
        <f t="shared" si="1"/>
        <v>0</v>
      </c>
      <c r="AE50" s="52">
        <v>7.4999999999999997E-3</v>
      </c>
      <c r="AF50" s="52">
        <f t="shared" si="7"/>
        <v>0.10404000000000002</v>
      </c>
      <c r="AG50" s="52">
        <f>$AO$26+(10*$AO$32)+(2*$AO$31)</f>
        <v>0.10404000000000001</v>
      </c>
      <c r="AH50" s="52">
        <f t="shared" si="8"/>
        <v>0.10454000000000002</v>
      </c>
      <c r="AI50" s="52">
        <f>$AO$26+(10*$AO$32)+(2*$AO$31)+(1*$AO$30)</f>
        <v>0.10454000000000001</v>
      </c>
      <c r="AJ50" s="52">
        <f t="shared" si="9"/>
        <v>0.10504000000000002</v>
      </c>
      <c r="AK50" s="199">
        <f>$AO$26+(10*$AO$32)+(2*$AO$31)+(2*$AO$30)</f>
        <v>0.10504000000000001</v>
      </c>
      <c r="AN50" s="34">
        <v>740</v>
      </c>
      <c r="BF50" s="84" t="s">
        <v>62</v>
      </c>
      <c r="BG50" s="85" t="s">
        <v>62</v>
      </c>
      <c r="BH50" s="86" t="s">
        <v>62</v>
      </c>
      <c r="BI50" s="84" t="s">
        <v>62</v>
      </c>
      <c r="BJ50" s="85" t="s">
        <v>62</v>
      </c>
      <c r="BK50" s="86" t="s">
        <v>62</v>
      </c>
      <c r="BL50" s="84" t="s">
        <v>62</v>
      </c>
      <c r="BM50" s="85" t="s">
        <v>62</v>
      </c>
      <c r="BN50" s="86" t="s">
        <v>62</v>
      </c>
      <c r="BO50" s="84" t="s">
        <v>62</v>
      </c>
      <c r="BP50" s="85" t="s">
        <v>62</v>
      </c>
      <c r="BQ50" s="86" t="s">
        <v>62</v>
      </c>
      <c r="BR50" s="84" t="s">
        <v>62</v>
      </c>
      <c r="BS50" s="85" t="s">
        <v>62</v>
      </c>
      <c r="BT50" s="86" t="s">
        <v>62</v>
      </c>
      <c r="BU50" s="84" t="s">
        <v>62</v>
      </c>
      <c r="BV50" s="85" t="s">
        <v>62</v>
      </c>
      <c r="BW50" s="86" t="s">
        <v>62</v>
      </c>
    </row>
    <row r="51" spans="3:75">
      <c r="C51" s="46" t="s">
        <v>43</v>
      </c>
      <c r="D51" s="46" t="s">
        <v>48</v>
      </c>
      <c r="E51" s="47">
        <v>3</v>
      </c>
      <c r="F51" s="47" t="str">
        <f t="shared" si="0"/>
        <v>FNFC3</v>
      </c>
      <c r="G51" s="47">
        <v>700</v>
      </c>
      <c r="H51" s="47" t="str">
        <f t="shared" si="6"/>
        <v>FNFC37003</v>
      </c>
      <c r="I51" s="47">
        <v>3</v>
      </c>
      <c r="J51" s="48">
        <v>2000000</v>
      </c>
      <c r="K51" s="48">
        <v>3499999</v>
      </c>
      <c r="L51" s="84">
        <f>+IFERROR(BF51+'[1]Master Sizer Inputs'!$T$29,"N/A")</f>
        <v>0.77499999999999991</v>
      </c>
      <c r="M51" s="85">
        <f>+IFERROR(BG51+'[1]Master Sizer Inputs'!$T$29,"N/A")</f>
        <v>0.7</v>
      </c>
      <c r="N51" s="86">
        <f>+IFERROR(BH51+'[1]Master Sizer Inputs'!$T$29,"N/A")</f>
        <v>0.82499999999999996</v>
      </c>
      <c r="O51" s="84">
        <f>+IFERROR(BI51+'[1]Master Sizer Inputs'!$T$29,"N/A")</f>
        <v>0.77499999999999991</v>
      </c>
      <c r="P51" s="85">
        <f>+IFERROR(BJ51+'[1]Master Sizer Inputs'!$T$29,"N/A")</f>
        <v>0.7</v>
      </c>
      <c r="Q51" s="86">
        <f>+IFERROR(BK51+'[1]Master Sizer Inputs'!$T$29,"N/A")</f>
        <v>0.82499999999999996</v>
      </c>
      <c r="R51" s="84">
        <f>+IFERROR(BL51+'[1]Master Sizer Inputs'!$T$29,"N/A")</f>
        <v>0.75</v>
      </c>
      <c r="S51" s="85">
        <f>+IFERROR(BM51+'[1]Master Sizer Inputs'!$T$29,"N/A")</f>
        <v>0.7</v>
      </c>
      <c r="T51" s="86">
        <f>+IFERROR(BN51+'[1]Master Sizer Inputs'!$T$29,"N/A")</f>
        <v>0.79999999999999993</v>
      </c>
      <c r="U51" s="84">
        <f>+IFERROR(BO51+'[1]Master Sizer Inputs'!$T$29,"N/A")</f>
        <v>0.7</v>
      </c>
      <c r="V51" s="85">
        <f>+IFERROR(BP51+'[1]Master Sizer Inputs'!$T$29,"N/A")</f>
        <v>0.7</v>
      </c>
      <c r="W51" s="86">
        <f>+IFERROR(BQ51+'[1]Master Sizer Inputs'!$T$29,"N/A")</f>
        <v>0.79999999999999993</v>
      </c>
      <c r="X51" s="84">
        <f>+IFERROR(BR51+'[1]Master Sizer Inputs'!$T$29,"N/A")</f>
        <v>0.7</v>
      </c>
      <c r="Y51" s="85">
        <f>+IFERROR(BS51+'[1]Master Sizer Inputs'!$T$29,"N/A")</f>
        <v>0.7</v>
      </c>
      <c r="Z51" s="86">
        <f>+IFERROR(BT51+'[1]Master Sizer Inputs'!$T$29,"N/A")</f>
        <v>0.79999999999999993</v>
      </c>
      <c r="AA51" s="84">
        <f>+IFERROR(BU51+'[1]Master Sizer Inputs'!$T$29,"N/A")</f>
        <v>0.64999999999999991</v>
      </c>
      <c r="AB51" s="84">
        <f>+IFERROR(BV51+'[1]Master Sizer Inputs'!$T$29,"N/A")</f>
        <v>0.64999999999999991</v>
      </c>
      <c r="AC51" s="86">
        <f>+IFERROR(BW51+'[1]Master Sizer Inputs'!$T$29,"N/A")</f>
        <v>0.72499999999999987</v>
      </c>
      <c r="AD51" s="52">
        <f t="shared" si="1"/>
        <v>0</v>
      </c>
      <c r="AE51" s="52">
        <v>7.4999999999999997E-3</v>
      </c>
      <c r="AF51" s="52">
        <f t="shared" si="7"/>
        <v>0.10154000000000002</v>
      </c>
      <c r="AG51" s="52">
        <f>$AO$26+(10*$AO$32)+(1*$AO$31)</f>
        <v>0.10154000000000001</v>
      </c>
      <c r="AH51" s="52">
        <f t="shared" si="8"/>
        <v>0.10204000000000002</v>
      </c>
      <c r="AI51" s="52">
        <f>$AO$26+(10*$AO$32)+(1*$AO$31)+(1*$AO$30)</f>
        <v>0.10204000000000001</v>
      </c>
      <c r="AJ51" s="52">
        <f t="shared" si="9"/>
        <v>0.10254000000000002</v>
      </c>
      <c r="AK51" s="199">
        <f>$AO$26+(10*$AO$32)+(1*$AO$31)+(2*$AO$30)</f>
        <v>0.10254000000000001</v>
      </c>
      <c r="BF51" s="84">
        <v>0.77499999999999991</v>
      </c>
      <c r="BG51" s="85">
        <v>0.7</v>
      </c>
      <c r="BH51" s="86">
        <v>0.82499999999999996</v>
      </c>
      <c r="BI51" s="84">
        <v>0.77499999999999991</v>
      </c>
      <c r="BJ51" s="85">
        <v>0.7</v>
      </c>
      <c r="BK51" s="86">
        <v>0.82499999999999996</v>
      </c>
      <c r="BL51" s="84">
        <v>0.75</v>
      </c>
      <c r="BM51" s="85">
        <v>0.7</v>
      </c>
      <c r="BN51" s="86">
        <v>0.79999999999999993</v>
      </c>
      <c r="BO51" s="84">
        <v>0.7</v>
      </c>
      <c r="BP51" s="85">
        <v>0.7</v>
      </c>
      <c r="BQ51" s="86">
        <v>0.79999999999999993</v>
      </c>
      <c r="BR51" s="84">
        <v>0.7</v>
      </c>
      <c r="BS51" s="85">
        <v>0.7</v>
      </c>
      <c r="BT51" s="86">
        <v>0.79999999999999993</v>
      </c>
      <c r="BU51" s="84">
        <v>0.64999999999999991</v>
      </c>
      <c r="BV51" s="85">
        <v>0.64999999999999991</v>
      </c>
      <c r="BW51" s="86">
        <v>0.72499999999999987</v>
      </c>
    </row>
    <row r="52" spans="3:75">
      <c r="C52" s="46" t="s">
        <v>43</v>
      </c>
      <c r="D52" s="46" t="s">
        <v>48</v>
      </c>
      <c r="E52" s="47">
        <v>3</v>
      </c>
      <c r="F52" s="47" t="str">
        <f t="shared" si="0"/>
        <v>FNFC3</v>
      </c>
      <c r="G52" s="47">
        <v>700</v>
      </c>
      <c r="H52" s="47" t="str">
        <f t="shared" si="6"/>
        <v>FNFC37002</v>
      </c>
      <c r="I52" s="47">
        <v>2</v>
      </c>
      <c r="J52" s="48">
        <v>1000000</v>
      </c>
      <c r="K52" s="48">
        <v>1999999</v>
      </c>
      <c r="L52" s="49">
        <f>+IFERROR(BF52+'[1]Master Sizer Inputs'!$T$29,"N/A")</f>
        <v>0.77500000000000002</v>
      </c>
      <c r="M52" s="50">
        <f>+IFERROR(BG52+'[1]Master Sizer Inputs'!$T$29,"N/A")</f>
        <v>0.7</v>
      </c>
      <c r="N52" s="51">
        <f>+IFERROR(BH52+'[1]Master Sizer Inputs'!$T$29,"N/A")</f>
        <v>0.82499999999999996</v>
      </c>
      <c r="O52" s="49">
        <f>+IFERROR(BI52+'[1]Master Sizer Inputs'!$T$29,"N/A")</f>
        <v>0.77500000000000002</v>
      </c>
      <c r="P52" s="50">
        <f>+IFERROR(BJ52+'[1]Master Sizer Inputs'!$T$29,"N/A")</f>
        <v>0.7</v>
      </c>
      <c r="Q52" s="51">
        <f>+IFERROR(BK52+'[1]Master Sizer Inputs'!$T$29,"N/A")</f>
        <v>0.82499999999999996</v>
      </c>
      <c r="R52" s="49">
        <f>+IFERROR(BL52+'[1]Master Sizer Inputs'!$T$29,"N/A")</f>
        <v>0.77500000000000002</v>
      </c>
      <c r="S52" s="50">
        <f>+IFERROR(BM52+'[1]Master Sizer Inputs'!$T$29,"N/A")</f>
        <v>0.7</v>
      </c>
      <c r="T52" s="51">
        <f>+IFERROR(BN52+'[1]Master Sizer Inputs'!$T$29,"N/A")</f>
        <v>0.79999999999999993</v>
      </c>
      <c r="U52" s="49">
        <f>+IFERROR(BO52+'[1]Master Sizer Inputs'!$T$29,"N/A")</f>
        <v>0.72499999999999998</v>
      </c>
      <c r="V52" s="50">
        <f>+IFERROR(BP52+'[1]Master Sizer Inputs'!$T$29,"N/A")</f>
        <v>0.72499999999999998</v>
      </c>
      <c r="W52" s="51">
        <f>+IFERROR(BQ52+'[1]Master Sizer Inputs'!$T$29,"N/A")</f>
        <v>0.79999999999999993</v>
      </c>
      <c r="X52" s="49">
        <f>+IFERROR(BR52+'[1]Master Sizer Inputs'!$T$29,"N/A")</f>
        <v>0.72499999999999998</v>
      </c>
      <c r="Y52" s="50">
        <f>+IFERROR(BS52+'[1]Master Sizer Inputs'!$T$29,"N/A")</f>
        <v>0.72499999999999998</v>
      </c>
      <c r="Z52" s="51">
        <f>+IFERROR(BT52+'[1]Master Sizer Inputs'!$T$29,"N/A")</f>
        <v>0.79999999999999993</v>
      </c>
      <c r="AA52" s="49">
        <f>+IFERROR(BU52+'[1]Master Sizer Inputs'!$T$29,"N/A")</f>
        <v>0.67499999999999993</v>
      </c>
      <c r="AB52" s="49">
        <f>+IFERROR(BV52+'[1]Master Sizer Inputs'!$T$29,"N/A")</f>
        <v>0.64999999999999991</v>
      </c>
      <c r="AC52" s="51">
        <f>+IFERROR(BW52+'[1]Master Sizer Inputs'!$T$29,"N/A")</f>
        <v>0.72499999999999987</v>
      </c>
      <c r="AD52" s="52">
        <f t="shared" si="1"/>
        <v>0</v>
      </c>
      <c r="AE52" s="52">
        <v>7.4999999999999997E-3</v>
      </c>
      <c r="AF52" s="52">
        <f t="shared" si="7"/>
        <v>9.9040000000000017E-2</v>
      </c>
      <c r="AG52" s="52">
        <f>$AO$26+(10*$AO$32)</f>
        <v>9.9040000000000003E-2</v>
      </c>
      <c r="AH52" s="52">
        <f t="shared" si="8"/>
        <v>9.9540000000000017E-2</v>
      </c>
      <c r="AI52" s="52">
        <f>$AO$26+(10*$AO$32)+(0*$AO$31)+(1*$AO$30)</f>
        <v>9.9540000000000003E-2</v>
      </c>
      <c r="AJ52" s="52">
        <f t="shared" si="9"/>
        <v>0.10004000000000002</v>
      </c>
      <c r="AK52" s="199">
        <f>$AO$26+(10*$AO$32)+(0*$AO$31)+(2*$AO$30)</f>
        <v>0.10004</v>
      </c>
      <c r="BF52" s="49">
        <v>0.77500000000000002</v>
      </c>
      <c r="BG52" s="50">
        <v>0.7</v>
      </c>
      <c r="BH52" s="51">
        <v>0.82499999999999996</v>
      </c>
      <c r="BI52" s="49">
        <v>0.77500000000000002</v>
      </c>
      <c r="BJ52" s="50">
        <v>0.7</v>
      </c>
      <c r="BK52" s="51">
        <v>0.82499999999999996</v>
      </c>
      <c r="BL52" s="49">
        <v>0.77500000000000002</v>
      </c>
      <c r="BM52" s="50">
        <v>0.7</v>
      </c>
      <c r="BN52" s="51">
        <v>0.79999999999999993</v>
      </c>
      <c r="BO52" s="49">
        <v>0.72499999999999998</v>
      </c>
      <c r="BP52" s="50">
        <v>0.72499999999999998</v>
      </c>
      <c r="BQ52" s="51">
        <v>0.79999999999999993</v>
      </c>
      <c r="BR52" s="49">
        <v>0.72499999999999998</v>
      </c>
      <c r="BS52" s="50">
        <v>0.72499999999999998</v>
      </c>
      <c r="BT52" s="51">
        <v>0.79999999999999993</v>
      </c>
      <c r="BU52" s="49">
        <v>0.67499999999999993</v>
      </c>
      <c r="BV52" s="50">
        <v>0.64999999999999991</v>
      </c>
      <c r="BW52" s="51">
        <v>0.72499999999999987</v>
      </c>
    </row>
    <row r="53" spans="3:75" ht="16.5" thickBot="1">
      <c r="C53" s="46" t="s">
        <v>43</v>
      </c>
      <c r="D53" s="46" t="s">
        <v>48</v>
      </c>
      <c r="E53" s="47">
        <v>3</v>
      </c>
      <c r="F53" s="47" t="str">
        <f t="shared" si="0"/>
        <v>FNFC3</v>
      </c>
      <c r="G53" s="47">
        <v>700</v>
      </c>
      <c r="H53" s="47" t="str">
        <f t="shared" si="6"/>
        <v>FNFC37001</v>
      </c>
      <c r="I53" s="47">
        <v>1</v>
      </c>
      <c r="J53" s="48">
        <v>150000</v>
      </c>
      <c r="K53" s="48">
        <v>999999</v>
      </c>
      <c r="L53" s="54">
        <f>+IFERROR(BF53+'[1]Master Sizer Inputs'!$T$29,"N/A")</f>
        <v>0.77500000000000002</v>
      </c>
      <c r="M53" s="55">
        <f>+IFERROR(BG53+'[1]Master Sizer Inputs'!$T$29,"N/A")</f>
        <v>0.72499999999999998</v>
      </c>
      <c r="N53" s="56">
        <f>+IFERROR(BH53+'[1]Master Sizer Inputs'!$T$29,"N/A")</f>
        <v>0.82499999999999996</v>
      </c>
      <c r="O53" s="54">
        <f>+IFERROR(BI53+'[1]Master Sizer Inputs'!$T$29,"N/A")</f>
        <v>0.77500000000000002</v>
      </c>
      <c r="P53" s="55">
        <f>+IFERROR(BJ53+'[1]Master Sizer Inputs'!$T$29,"N/A")</f>
        <v>0.72499999999999998</v>
      </c>
      <c r="Q53" s="56">
        <f>+IFERROR(BK53+'[1]Master Sizer Inputs'!$T$29,"N/A")</f>
        <v>0.82499999999999996</v>
      </c>
      <c r="R53" s="54">
        <f>+IFERROR(BL53+'[1]Master Sizer Inputs'!$T$29,"N/A")</f>
        <v>0.77500000000000002</v>
      </c>
      <c r="S53" s="55">
        <f>+IFERROR(BM53+'[1]Master Sizer Inputs'!$T$29,"N/A")</f>
        <v>0.72499999999999998</v>
      </c>
      <c r="T53" s="56">
        <f>+IFERROR(BN53+'[1]Master Sizer Inputs'!$T$29,"N/A")</f>
        <v>0.79999999999999993</v>
      </c>
      <c r="U53" s="54">
        <f>+IFERROR(BO53+'[1]Master Sizer Inputs'!$T$29,"N/A")</f>
        <v>0.72499999999999998</v>
      </c>
      <c r="V53" s="55">
        <f>+IFERROR(BP53+'[1]Master Sizer Inputs'!$T$29,"N/A")</f>
        <v>0.72499999999999998</v>
      </c>
      <c r="W53" s="56">
        <f>+IFERROR(BQ53+'[1]Master Sizer Inputs'!$T$29,"N/A")</f>
        <v>0.79999999999999993</v>
      </c>
      <c r="X53" s="54">
        <f>+IFERROR(BR53+'[1]Master Sizer Inputs'!$T$29,"N/A")</f>
        <v>0.72499999999999998</v>
      </c>
      <c r="Y53" s="55">
        <f>+IFERROR(BS53+'[1]Master Sizer Inputs'!$T$29,"N/A")</f>
        <v>0.72499999999999998</v>
      </c>
      <c r="Z53" s="56">
        <f>+IFERROR(BT53+'[1]Master Sizer Inputs'!$T$29,"N/A")</f>
        <v>0.79999999999999993</v>
      </c>
      <c r="AA53" s="54">
        <f>+IFERROR(BU53+'[1]Master Sizer Inputs'!$T$29,"N/A")</f>
        <v>0.67499999999999993</v>
      </c>
      <c r="AB53" s="54">
        <f>+IFERROR(BV53+'[1]Master Sizer Inputs'!$T$29,"N/A")</f>
        <v>0.67499999999999993</v>
      </c>
      <c r="AC53" s="56">
        <f>+IFERROR(BW53+'[1]Master Sizer Inputs'!$T$29,"N/A")</f>
        <v>0.72499999999999987</v>
      </c>
      <c r="AD53" s="52">
        <f t="shared" si="1"/>
        <v>0</v>
      </c>
      <c r="AE53" s="52">
        <v>7.4999999999999997E-3</v>
      </c>
      <c r="AF53" s="52">
        <f t="shared" si="7"/>
        <v>9.9040000000000017E-2</v>
      </c>
      <c r="AG53" s="52">
        <f>$AO$26+(10*$AO$32)</f>
        <v>9.9040000000000003E-2</v>
      </c>
      <c r="AH53" s="52">
        <f t="shared" si="8"/>
        <v>9.9540000000000017E-2</v>
      </c>
      <c r="AI53" s="52">
        <f>$AO$26+(10*$AO$32)+(0*$AO$31)+(1*$AO$30)</f>
        <v>9.9540000000000003E-2</v>
      </c>
      <c r="AJ53" s="52">
        <f t="shared" si="9"/>
        <v>0.10004000000000002</v>
      </c>
      <c r="AK53" s="199">
        <f>$AO$26+(10*$AO$32)+(0*$AO$31)+(2*$AO$30)</f>
        <v>0.10004</v>
      </c>
      <c r="BF53" s="54">
        <v>0.77500000000000002</v>
      </c>
      <c r="BG53" s="55">
        <v>0.72499999999999998</v>
      </c>
      <c r="BH53" s="56">
        <v>0.82499999999999996</v>
      </c>
      <c r="BI53" s="54">
        <v>0.77500000000000002</v>
      </c>
      <c r="BJ53" s="55">
        <v>0.72499999999999998</v>
      </c>
      <c r="BK53" s="56">
        <v>0.82499999999999996</v>
      </c>
      <c r="BL53" s="54">
        <v>0.77500000000000002</v>
      </c>
      <c r="BM53" s="55">
        <v>0.72499999999999998</v>
      </c>
      <c r="BN53" s="56">
        <v>0.79999999999999993</v>
      </c>
      <c r="BO53" s="54">
        <v>0.72499999999999998</v>
      </c>
      <c r="BP53" s="55">
        <v>0.72499999999999998</v>
      </c>
      <c r="BQ53" s="56">
        <v>0.79999999999999993</v>
      </c>
      <c r="BR53" s="54">
        <v>0.72499999999999998</v>
      </c>
      <c r="BS53" s="55">
        <v>0.72499999999999998</v>
      </c>
      <c r="BT53" s="56">
        <v>0.79999999999999993</v>
      </c>
      <c r="BU53" s="54">
        <v>0.67499999999999993</v>
      </c>
      <c r="BV53" s="55">
        <v>0.67499999999999993</v>
      </c>
      <c r="BW53" s="56">
        <v>0.72499999999999987</v>
      </c>
    </row>
    <row r="54" spans="3:75">
      <c r="C54" s="24" t="s">
        <v>43</v>
      </c>
      <c r="D54" s="24" t="s">
        <v>49</v>
      </c>
      <c r="E54" s="25">
        <v>1</v>
      </c>
      <c r="F54" s="25" t="str">
        <f t="shared" si="0"/>
        <v>FNFD1</v>
      </c>
      <c r="G54" s="25">
        <v>740</v>
      </c>
      <c r="H54" s="25" t="str">
        <f t="shared" si="6"/>
        <v>FNFD17404</v>
      </c>
      <c r="I54" s="25">
        <v>4</v>
      </c>
      <c r="J54" s="26">
        <v>3500000</v>
      </c>
      <c r="K54" s="26">
        <v>4999999</v>
      </c>
      <c r="L54" s="75" t="str">
        <f>+IFERROR(BF54+'[1]Master Sizer Inputs'!$T$29,"N/A")</f>
        <v>N/A</v>
      </c>
      <c r="M54" s="76" t="str">
        <f>+IFERROR(BG54+'[1]Master Sizer Inputs'!$T$29,"N/A")</f>
        <v>N/A</v>
      </c>
      <c r="N54" s="77" t="str">
        <f>+IFERROR(BH54+'[1]Master Sizer Inputs'!$T$29,"N/A")</f>
        <v>N/A</v>
      </c>
      <c r="O54" s="75" t="str">
        <f>+IFERROR(BI54+'[1]Master Sizer Inputs'!$T$29,"N/A")</f>
        <v>N/A</v>
      </c>
      <c r="P54" s="76" t="str">
        <f>+IFERROR(BJ54+'[1]Master Sizer Inputs'!$T$29,"N/A")</f>
        <v>N/A</v>
      </c>
      <c r="Q54" s="77" t="str">
        <f>+IFERROR(BK54+'[1]Master Sizer Inputs'!$T$29,"N/A")</f>
        <v>N/A</v>
      </c>
      <c r="R54" s="75" t="str">
        <f>+IFERROR(BL54+'[1]Master Sizer Inputs'!$T$29,"N/A")</f>
        <v>N/A</v>
      </c>
      <c r="S54" s="76" t="str">
        <f>+IFERROR(BM54+'[1]Master Sizer Inputs'!$T$29,"N/A")</f>
        <v>N/A</v>
      </c>
      <c r="T54" s="77" t="str">
        <f>+IFERROR(BN54+'[1]Master Sizer Inputs'!$T$29,"N/A")</f>
        <v>N/A</v>
      </c>
      <c r="U54" s="75" t="str">
        <f>+IFERROR(BO54+'[1]Master Sizer Inputs'!$T$29,"N/A")</f>
        <v>N/A</v>
      </c>
      <c r="V54" s="76" t="str">
        <f>+IFERROR(BP54+'[1]Master Sizer Inputs'!$T$29,"N/A")</f>
        <v>N/A</v>
      </c>
      <c r="W54" s="77" t="str">
        <f>+IFERROR(BQ54+'[1]Master Sizer Inputs'!$T$29,"N/A")</f>
        <v>N/A</v>
      </c>
      <c r="X54" s="75" t="str">
        <f>+IFERROR(BR54+'[1]Master Sizer Inputs'!$T$29,"N/A")</f>
        <v>N/A</v>
      </c>
      <c r="Y54" s="76" t="str">
        <f>+IFERROR(BS54+'[1]Master Sizer Inputs'!$T$29,"N/A")</f>
        <v>N/A</v>
      </c>
      <c r="Z54" s="77" t="str">
        <f>+IFERROR(BT54+'[1]Master Sizer Inputs'!$T$29,"N/A")</f>
        <v>N/A</v>
      </c>
      <c r="AA54" s="75" t="str">
        <f>+IFERROR(BU54+'[1]Master Sizer Inputs'!$T$29,"N/A")</f>
        <v>N/A</v>
      </c>
      <c r="AB54" s="75" t="str">
        <f>+IFERROR(BV54+'[1]Master Sizer Inputs'!$T$29,"N/A")</f>
        <v>N/A</v>
      </c>
      <c r="AC54" s="77" t="str">
        <f>+IFERROR(BW54+'[1]Master Sizer Inputs'!$T$29,"N/A")</f>
        <v>N/A</v>
      </c>
      <c r="AD54" s="30">
        <f t="shared" si="1"/>
        <v>0</v>
      </c>
      <c r="AE54" s="30">
        <v>7.4999999999999997E-3</v>
      </c>
      <c r="AF54" s="30">
        <f t="shared" si="7"/>
        <v>0.10529000000000002</v>
      </c>
      <c r="AG54" s="30">
        <f>$AO$26+(11*$AO$32)+(2*$AO$31)</f>
        <v>0.10529000000000001</v>
      </c>
      <c r="AH54" s="30">
        <f t="shared" si="8"/>
        <v>0.10579000000000002</v>
      </c>
      <c r="AI54" s="30">
        <f>$AO$26+(11*$AO$32)+(2*$AO$31)+(1*$AO$30)</f>
        <v>0.10579000000000001</v>
      </c>
      <c r="AJ54" s="30">
        <f t="shared" si="9"/>
        <v>0.10629000000000002</v>
      </c>
      <c r="AK54" s="197">
        <f>$AO$26+(11*$AO$32)+(2*$AO$31)+(2*$AO$30)</f>
        <v>0.10629000000000001</v>
      </c>
      <c r="BF54" s="75" t="s">
        <v>62</v>
      </c>
      <c r="BG54" s="76" t="s">
        <v>62</v>
      </c>
      <c r="BH54" s="77" t="s">
        <v>62</v>
      </c>
      <c r="BI54" s="75" t="s">
        <v>62</v>
      </c>
      <c r="BJ54" s="76" t="s">
        <v>62</v>
      </c>
      <c r="BK54" s="77" t="s">
        <v>62</v>
      </c>
      <c r="BL54" s="75" t="s">
        <v>62</v>
      </c>
      <c r="BM54" s="76" t="s">
        <v>62</v>
      </c>
      <c r="BN54" s="77" t="s">
        <v>62</v>
      </c>
      <c r="BO54" s="75" t="s">
        <v>62</v>
      </c>
      <c r="BP54" s="76" t="s">
        <v>62</v>
      </c>
      <c r="BQ54" s="77" t="s">
        <v>62</v>
      </c>
      <c r="BR54" s="75" t="s">
        <v>62</v>
      </c>
      <c r="BS54" s="76" t="s">
        <v>62</v>
      </c>
      <c r="BT54" s="77" t="s">
        <v>62</v>
      </c>
      <c r="BU54" s="75" t="s">
        <v>62</v>
      </c>
      <c r="BV54" s="76" t="s">
        <v>62</v>
      </c>
      <c r="BW54" s="77" t="s">
        <v>62</v>
      </c>
    </row>
    <row r="55" spans="3:75">
      <c r="C55" s="24" t="s">
        <v>43</v>
      </c>
      <c r="D55" s="24" t="s">
        <v>49</v>
      </c>
      <c r="E55" s="25">
        <v>1</v>
      </c>
      <c r="F55" s="25" t="str">
        <f t="shared" si="0"/>
        <v>FNFD1</v>
      </c>
      <c r="G55" s="25">
        <v>740</v>
      </c>
      <c r="H55" s="25" t="str">
        <f t="shared" si="6"/>
        <v>FNFD17403</v>
      </c>
      <c r="I55" s="25">
        <v>3</v>
      </c>
      <c r="J55" s="26">
        <v>2000000</v>
      </c>
      <c r="K55" s="26">
        <v>3499999</v>
      </c>
      <c r="L55" s="75">
        <f>+IFERROR(BF55+'[1]Master Sizer Inputs'!$T$29,"N/A")</f>
        <v>0.74999999999999989</v>
      </c>
      <c r="M55" s="76">
        <f>+IFERROR(BG55+'[1]Master Sizer Inputs'!$T$29,"N/A")</f>
        <v>0.67499999999999993</v>
      </c>
      <c r="N55" s="77">
        <f>+IFERROR(BH55+'[1]Master Sizer Inputs'!$T$29,"N/A")</f>
        <v>0.79999999999999993</v>
      </c>
      <c r="O55" s="75">
        <f>+IFERROR(BI55+'[1]Master Sizer Inputs'!$T$29,"N/A")</f>
        <v>0.74999999999999989</v>
      </c>
      <c r="P55" s="76">
        <f>+IFERROR(BJ55+'[1]Master Sizer Inputs'!$T$29,"N/A")</f>
        <v>0.67499999999999993</v>
      </c>
      <c r="Q55" s="77">
        <f>+IFERROR(BK55+'[1]Master Sizer Inputs'!$T$29,"N/A")</f>
        <v>0.79999999999999993</v>
      </c>
      <c r="R55" s="75">
        <f>+IFERROR(BL55+'[1]Master Sizer Inputs'!$T$29,"N/A")</f>
        <v>0.72499999999999998</v>
      </c>
      <c r="S55" s="76">
        <f>+IFERROR(BM55+'[1]Master Sizer Inputs'!$T$29,"N/A")</f>
        <v>0.67499999999999993</v>
      </c>
      <c r="T55" s="77">
        <f>+IFERROR(BN55+'[1]Master Sizer Inputs'!$T$29,"N/A")</f>
        <v>0.77499999999999991</v>
      </c>
      <c r="U55" s="75">
        <f>+IFERROR(BO55+'[1]Master Sizer Inputs'!$T$29,"N/A")</f>
        <v>0.67499999999999993</v>
      </c>
      <c r="V55" s="76">
        <f>+IFERROR(BP55+'[1]Master Sizer Inputs'!$T$29,"N/A")</f>
        <v>0.67499999999999993</v>
      </c>
      <c r="W55" s="77">
        <f>+IFERROR(BQ55+'[1]Master Sizer Inputs'!$T$29,"N/A")</f>
        <v>0.77499999999999991</v>
      </c>
      <c r="X55" s="75">
        <f>+IFERROR(BR55+'[1]Master Sizer Inputs'!$T$29,"N/A")</f>
        <v>0.67499999999999993</v>
      </c>
      <c r="Y55" s="76">
        <f>+IFERROR(BS55+'[1]Master Sizer Inputs'!$T$29,"N/A")</f>
        <v>0.67499999999999993</v>
      </c>
      <c r="Z55" s="77">
        <f>+IFERROR(BT55+'[1]Master Sizer Inputs'!$T$29,"N/A")</f>
        <v>0.77499999999999991</v>
      </c>
      <c r="AA55" s="75">
        <f>+IFERROR(BU55+'[1]Master Sizer Inputs'!$T$29,"N/A")</f>
        <v>0.62499999999999989</v>
      </c>
      <c r="AB55" s="75">
        <f>+IFERROR(BV55+'[1]Master Sizer Inputs'!$T$29,"N/A")</f>
        <v>0.62499999999999989</v>
      </c>
      <c r="AC55" s="77">
        <f>+IFERROR(BW55+'[1]Master Sizer Inputs'!$T$29,"N/A")</f>
        <v>0.69999999999999984</v>
      </c>
      <c r="AD55" s="30">
        <f t="shared" si="1"/>
        <v>0</v>
      </c>
      <c r="AE55" s="30">
        <v>7.4999999999999997E-3</v>
      </c>
      <c r="AF55" s="30">
        <f t="shared" si="7"/>
        <v>0.10279000000000002</v>
      </c>
      <c r="AG55" s="30">
        <f>$AO$26+(11*$AO$32)+(1*$AO$31)</f>
        <v>0.10279000000000001</v>
      </c>
      <c r="AH55" s="30">
        <f t="shared" si="8"/>
        <v>0.10329000000000002</v>
      </c>
      <c r="AI55" s="30">
        <f>$AO$26+(11*$AO$32)+(1*$AO$31)+(1*$AO$30)</f>
        <v>0.10329000000000001</v>
      </c>
      <c r="AJ55" s="30">
        <f t="shared" si="9"/>
        <v>0.10379000000000002</v>
      </c>
      <c r="AK55" s="197">
        <f>$AO$26+(11*$AO$32)+(1*$AO$31)+(2*$AO$30)</f>
        <v>0.10379000000000001</v>
      </c>
      <c r="BF55" s="75">
        <v>0.74999999999999989</v>
      </c>
      <c r="BG55" s="76">
        <v>0.67499999999999993</v>
      </c>
      <c r="BH55" s="77">
        <v>0.79999999999999993</v>
      </c>
      <c r="BI55" s="75">
        <v>0.74999999999999989</v>
      </c>
      <c r="BJ55" s="76">
        <v>0.67499999999999993</v>
      </c>
      <c r="BK55" s="77">
        <v>0.79999999999999993</v>
      </c>
      <c r="BL55" s="75">
        <v>0.72499999999999998</v>
      </c>
      <c r="BM55" s="76">
        <v>0.67499999999999993</v>
      </c>
      <c r="BN55" s="77">
        <v>0.77499999999999991</v>
      </c>
      <c r="BO55" s="75">
        <v>0.67499999999999993</v>
      </c>
      <c r="BP55" s="76">
        <v>0.67499999999999993</v>
      </c>
      <c r="BQ55" s="77">
        <v>0.77499999999999991</v>
      </c>
      <c r="BR55" s="75">
        <v>0.67499999999999993</v>
      </c>
      <c r="BS55" s="76">
        <v>0.67499999999999993</v>
      </c>
      <c r="BT55" s="77">
        <v>0.77499999999999991</v>
      </c>
      <c r="BU55" s="75">
        <v>0.62499999999999989</v>
      </c>
      <c r="BV55" s="76">
        <v>0.62499999999999989</v>
      </c>
      <c r="BW55" s="77">
        <v>0.69999999999999984</v>
      </c>
    </row>
    <row r="56" spans="3:75">
      <c r="C56" s="24" t="s">
        <v>43</v>
      </c>
      <c r="D56" s="24" t="s">
        <v>49</v>
      </c>
      <c r="E56" s="25">
        <v>1</v>
      </c>
      <c r="F56" s="25" t="str">
        <f t="shared" si="0"/>
        <v>FNFD1</v>
      </c>
      <c r="G56" s="25">
        <v>740</v>
      </c>
      <c r="H56" s="25" t="str">
        <f t="shared" si="6"/>
        <v>FNFD17402</v>
      </c>
      <c r="I56" s="25">
        <v>2</v>
      </c>
      <c r="J56" s="26">
        <v>1000000</v>
      </c>
      <c r="K56" s="26">
        <v>1999999</v>
      </c>
      <c r="L56" s="75">
        <f>+IFERROR(BF56+'[1]Master Sizer Inputs'!$T$29,"N/A")</f>
        <v>0.75</v>
      </c>
      <c r="M56" s="76">
        <f>+IFERROR(BG56+'[1]Master Sizer Inputs'!$T$29,"N/A")</f>
        <v>0.67499999999999993</v>
      </c>
      <c r="N56" s="77">
        <f>+IFERROR(BH56+'[1]Master Sizer Inputs'!$T$29,"N/A")</f>
        <v>0.79999999999999993</v>
      </c>
      <c r="O56" s="75">
        <f>+IFERROR(BI56+'[1]Master Sizer Inputs'!$T$29,"N/A")</f>
        <v>0.75</v>
      </c>
      <c r="P56" s="76">
        <f>+IFERROR(BJ56+'[1]Master Sizer Inputs'!$T$29,"N/A")</f>
        <v>0.67499999999999993</v>
      </c>
      <c r="Q56" s="77">
        <f>+IFERROR(BK56+'[1]Master Sizer Inputs'!$T$29,"N/A")</f>
        <v>0.79999999999999993</v>
      </c>
      <c r="R56" s="75">
        <f>+IFERROR(BL56+'[1]Master Sizer Inputs'!$T$29,"N/A")</f>
        <v>0.75</v>
      </c>
      <c r="S56" s="76">
        <f>+IFERROR(BM56+'[1]Master Sizer Inputs'!$T$29,"N/A")</f>
        <v>0.67499999999999993</v>
      </c>
      <c r="T56" s="77">
        <f>+IFERROR(BN56+'[1]Master Sizer Inputs'!$T$29,"N/A")</f>
        <v>0.77499999999999991</v>
      </c>
      <c r="U56" s="75">
        <f>+IFERROR(BO56+'[1]Master Sizer Inputs'!$T$29,"N/A")</f>
        <v>0.7</v>
      </c>
      <c r="V56" s="76">
        <f>+IFERROR(BP56+'[1]Master Sizer Inputs'!$T$29,"N/A")</f>
        <v>0.7</v>
      </c>
      <c r="W56" s="77">
        <f>+IFERROR(BQ56+'[1]Master Sizer Inputs'!$T$29,"N/A")</f>
        <v>0.77499999999999991</v>
      </c>
      <c r="X56" s="75">
        <f>+IFERROR(BR56+'[1]Master Sizer Inputs'!$T$29,"N/A")</f>
        <v>0.7</v>
      </c>
      <c r="Y56" s="76">
        <f>+IFERROR(BS56+'[1]Master Sizer Inputs'!$T$29,"N/A")</f>
        <v>0.7</v>
      </c>
      <c r="Z56" s="77">
        <f>+IFERROR(BT56+'[1]Master Sizer Inputs'!$T$29,"N/A")</f>
        <v>0.77499999999999991</v>
      </c>
      <c r="AA56" s="75">
        <f>+IFERROR(BU56+'[1]Master Sizer Inputs'!$T$29,"N/A")</f>
        <v>0.64999999999999991</v>
      </c>
      <c r="AB56" s="75">
        <f>+IFERROR(BV56+'[1]Master Sizer Inputs'!$T$29,"N/A")</f>
        <v>0.62499999999999989</v>
      </c>
      <c r="AC56" s="77">
        <f>+IFERROR(BW56+'[1]Master Sizer Inputs'!$T$29,"N/A")</f>
        <v>0.69999999999999984</v>
      </c>
      <c r="AD56" s="30">
        <f t="shared" si="1"/>
        <v>0</v>
      </c>
      <c r="AE56" s="30">
        <v>7.4999999999999997E-3</v>
      </c>
      <c r="AF56" s="30">
        <f t="shared" si="7"/>
        <v>0.10029000000000002</v>
      </c>
      <c r="AG56" s="30">
        <f>$AO$26+(11*$AO$32)</f>
        <v>0.10029</v>
      </c>
      <c r="AH56" s="30">
        <f t="shared" si="8"/>
        <v>0.10079000000000002</v>
      </c>
      <c r="AI56" s="30">
        <f>$AO$26+(11*$AO$32)+(0*$AO$31)+(1*$AO$30)</f>
        <v>0.10079</v>
      </c>
      <c r="AJ56" s="30">
        <f t="shared" si="9"/>
        <v>0.10129000000000002</v>
      </c>
      <c r="AK56" s="197">
        <f>$AO$26+(11*$AO$32)+(0*$AO$31)+(2*$AO$30)</f>
        <v>0.10129000000000001</v>
      </c>
      <c r="BF56" s="75">
        <v>0.75</v>
      </c>
      <c r="BG56" s="76">
        <v>0.67499999999999993</v>
      </c>
      <c r="BH56" s="77">
        <v>0.79999999999999993</v>
      </c>
      <c r="BI56" s="75">
        <v>0.75</v>
      </c>
      <c r="BJ56" s="76">
        <v>0.67499999999999993</v>
      </c>
      <c r="BK56" s="77">
        <v>0.79999999999999993</v>
      </c>
      <c r="BL56" s="75">
        <v>0.75</v>
      </c>
      <c r="BM56" s="76">
        <v>0.67499999999999993</v>
      </c>
      <c r="BN56" s="77">
        <v>0.77499999999999991</v>
      </c>
      <c r="BO56" s="75">
        <v>0.7</v>
      </c>
      <c r="BP56" s="76">
        <v>0.7</v>
      </c>
      <c r="BQ56" s="77">
        <v>0.77499999999999991</v>
      </c>
      <c r="BR56" s="75">
        <v>0.7</v>
      </c>
      <c r="BS56" s="76">
        <v>0.7</v>
      </c>
      <c r="BT56" s="77">
        <v>0.77499999999999991</v>
      </c>
      <c r="BU56" s="75">
        <v>0.64999999999999991</v>
      </c>
      <c r="BV56" s="76">
        <v>0.62499999999999989</v>
      </c>
      <c r="BW56" s="77">
        <v>0.69999999999999984</v>
      </c>
    </row>
    <row r="57" spans="3:75" ht="16.5" thickBot="1">
      <c r="C57" s="24" t="s">
        <v>43</v>
      </c>
      <c r="D57" s="24" t="s">
        <v>49</v>
      </c>
      <c r="E57" s="25">
        <v>1</v>
      </c>
      <c r="F57" s="25" t="str">
        <f t="shared" si="0"/>
        <v>FNFD1</v>
      </c>
      <c r="G57" s="25">
        <v>740</v>
      </c>
      <c r="H57" s="25" t="str">
        <f t="shared" si="6"/>
        <v>FNFD17401</v>
      </c>
      <c r="I57" s="25">
        <v>1</v>
      </c>
      <c r="J57" s="26">
        <v>150000</v>
      </c>
      <c r="K57" s="26">
        <v>999999</v>
      </c>
      <c r="L57" s="35">
        <f>+IFERROR(BF57+'[1]Master Sizer Inputs'!$T$29,"N/A")</f>
        <v>0.75</v>
      </c>
      <c r="M57" s="36">
        <f>+IFERROR(BG57+'[1]Master Sizer Inputs'!$T$29,"N/A")</f>
        <v>0.7</v>
      </c>
      <c r="N57" s="37">
        <f>+IFERROR(BH57+'[1]Master Sizer Inputs'!$T$29,"N/A")</f>
        <v>0.79999999999999993</v>
      </c>
      <c r="O57" s="35">
        <f>+IFERROR(BI57+'[1]Master Sizer Inputs'!$T$29,"N/A")</f>
        <v>0.75</v>
      </c>
      <c r="P57" s="36">
        <f>+IFERROR(BJ57+'[1]Master Sizer Inputs'!$T$29,"N/A")</f>
        <v>0.7</v>
      </c>
      <c r="Q57" s="37">
        <f>+IFERROR(BK57+'[1]Master Sizer Inputs'!$T$29,"N/A")</f>
        <v>0.79999999999999993</v>
      </c>
      <c r="R57" s="35">
        <f>+IFERROR(BL57+'[1]Master Sizer Inputs'!$T$29,"N/A")</f>
        <v>0.75</v>
      </c>
      <c r="S57" s="36">
        <f>+IFERROR(BM57+'[1]Master Sizer Inputs'!$T$29,"N/A")</f>
        <v>0.7</v>
      </c>
      <c r="T57" s="37">
        <f>+IFERROR(BN57+'[1]Master Sizer Inputs'!$T$29,"N/A")</f>
        <v>0.77499999999999991</v>
      </c>
      <c r="U57" s="35">
        <f>+IFERROR(BO57+'[1]Master Sizer Inputs'!$T$29,"N/A")</f>
        <v>0.7</v>
      </c>
      <c r="V57" s="36">
        <f>+IFERROR(BP57+'[1]Master Sizer Inputs'!$T$29,"N/A")</f>
        <v>0.7</v>
      </c>
      <c r="W57" s="37">
        <f>+IFERROR(BQ57+'[1]Master Sizer Inputs'!$T$29,"N/A")</f>
        <v>0.77499999999999991</v>
      </c>
      <c r="X57" s="35">
        <f>+IFERROR(BR57+'[1]Master Sizer Inputs'!$T$29,"N/A")</f>
        <v>0.7</v>
      </c>
      <c r="Y57" s="36">
        <f>+IFERROR(BS57+'[1]Master Sizer Inputs'!$T$29,"N/A")</f>
        <v>0.7</v>
      </c>
      <c r="Z57" s="37">
        <f>+IFERROR(BT57+'[1]Master Sizer Inputs'!$T$29,"N/A")</f>
        <v>0.77499999999999991</v>
      </c>
      <c r="AA57" s="35">
        <f>+IFERROR(BU57+'[1]Master Sizer Inputs'!$T$29,"N/A")</f>
        <v>0.64999999999999991</v>
      </c>
      <c r="AB57" s="35">
        <f>+IFERROR(BV57+'[1]Master Sizer Inputs'!$T$29,"N/A")</f>
        <v>0.64999999999999991</v>
      </c>
      <c r="AC57" s="37">
        <f>+IFERROR(BW57+'[1]Master Sizer Inputs'!$T$29,"N/A")</f>
        <v>0.69999999999999984</v>
      </c>
      <c r="AD57" s="30">
        <f t="shared" si="1"/>
        <v>0</v>
      </c>
      <c r="AE57" s="30">
        <v>7.4999999999999997E-3</v>
      </c>
      <c r="AF57" s="30">
        <f t="shared" si="7"/>
        <v>0.10029000000000002</v>
      </c>
      <c r="AG57" s="30">
        <f>$AO$26+(11*$AO$32)</f>
        <v>0.10029</v>
      </c>
      <c r="AH57" s="30">
        <f t="shared" si="8"/>
        <v>0.10079000000000002</v>
      </c>
      <c r="AI57" s="30">
        <f>$AO$26+(11*$AO$32)+(0*$AO$31)+(1*$AO$30)</f>
        <v>0.10079</v>
      </c>
      <c r="AJ57" s="30">
        <f t="shared" si="9"/>
        <v>0.10129000000000002</v>
      </c>
      <c r="AK57" s="197">
        <f>$AO$26+(11*$AO$32)+(0*$AO$31)+(2*$AO$30)</f>
        <v>0.10129000000000001</v>
      </c>
      <c r="BF57" s="35">
        <v>0.75</v>
      </c>
      <c r="BG57" s="36">
        <v>0.7</v>
      </c>
      <c r="BH57" s="37">
        <v>0.79999999999999993</v>
      </c>
      <c r="BI57" s="35">
        <v>0.75</v>
      </c>
      <c r="BJ57" s="36">
        <v>0.7</v>
      </c>
      <c r="BK57" s="37">
        <v>0.79999999999999993</v>
      </c>
      <c r="BL57" s="35">
        <v>0.75</v>
      </c>
      <c r="BM57" s="36">
        <v>0.7</v>
      </c>
      <c r="BN57" s="37">
        <v>0.77499999999999991</v>
      </c>
      <c r="BO57" s="35">
        <v>0.7</v>
      </c>
      <c r="BP57" s="36">
        <v>0.7</v>
      </c>
      <c r="BQ57" s="37">
        <v>0.77499999999999991</v>
      </c>
      <c r="BR57" s="35">
        <v>0.7</v>
      </c>
      <c r="BS57" s="36">
        <v>0.7</v>
      </c>
      <c r="BT57" s="37">
        <v>0.77499999999999991</v>
      </c>
      <c r="BU57" s="35">
        <v>0.64999999999999991</v>
      </c>
      <c r="BV57" s="36">
        <v>0.64999999999999991</v>
      </c>
      <c r="BW57" s="37">
        <v>0.69999999999999984</v>
      </c>
    </row>
    <row r="58" spans="3:75">
      <c r="C58" s="110" t="s">
        <v>43</v>
      </c>
      <c r="D58" s="110" t="s">
        <v>49</v>
      </c>
      <c r="E58" s="111">
        <v>1</v>
      </c>
      <c r="F58" s="111" t="str">
        <f t="shared" si="0"/>
        <v>FNFD1</v>
      </c>
      <c r="G58" s="111">
        <v>720</v>
      </c>
      <c r="H58" s="111" t="str">
        <f t="shared" si="6"/>
        <v>FNFD17204</v>
      </c>
      <c r="I58" s="111">
        <v>4</v>
      </c>
      <c r="J58" s="112">
        <v>3500000</v>
      </c>
      <c r="K58" s="112">
        <v>4999999</v>
      </c>
      <c r="L58" s="120" t="str">
        <f>+IFERROR(BF58+'[1]Master Sizer Inputs'!$T$29,"N/A")</f>
        <v>N/A</v>
      </c>
      <c r="M58" s="121" t="str">
        <f>+IFERROR(BG58+'[1]Master Sizer Inputs'!$T$29,"N/A")</f>
        <v>N/A</v>
      </c>
      <c r="N58" s="122" t="str">
        <f>+IFERROR(BH58+'[1]Master Sizer Inputs'!$T$29,"N/A")</f>
        <v>N/A</v>
      </c>
      <c r="O58" s="120" t="str">
        <f>+IFERROR(BI58+'[1]Master Sizer Inputs'!$T$29,"N/A")</f>
        <v>N/A</v>
      </c>
      <c r="P58" s="121" t="str">
        <f>+IFERROR(BJ58+'[1]Master Sizer Inputs'!$T$29,"N/A")</f>
        <v>N/A</v>
      </c>
      <c r="Q58" s="122" t="str">
        <f>+IFERROR(BK58+'[1]Master Sizer Inputs'!$T$29,"N/A")</f>
        <v>N/A</v>
      </c>
      <c r="R58" s="120" t="str">
        <f>+IFERROR(BL58+'[1]Master Sizer Inputs'!$T$29,"N/A")</f>
        <v>N/A</v>
      </c>
      <c r="S58" s="121" t="str">
        <f>+IFERROR(BM58+'[1]Master Sizer Inputs'!$T$29,"N/A")</f>
        <v>N/A</v>
      </c>
      <c r="T58" s="122" t="str">
        <f>+IFERROR(BN58+'[1]Master Sizer Inputs'!$T$29,"N/A")</f>
        <v>N/A</v>
      </c>
      <c r="U58" s="120" t="str">
        <f>+IFERROR(BO58+'[1]Master Sizer Inputs'!$T$29,"N/A")</f>
        <v>N/A</v>
      </c>
      <c r="V58" s="121" t="str">
        <f>+IFERROR(BP58+'[1]Master Sizer Inputs'!$T$29,"N/A")</f>
        <v>N/A</v>
      </c>
      <c r="W58" s="122" t="str">
        <f>+IFERROR(BQ58+'[1]Master Sizer Inputs'!$T$29,"N/A")</f>
        <v>N/A</v>
      </c>
      <c r="X58" s="120" t="str">
        <f>+IFERROR(BR58+'[1]Master Sizer Inputs'!$T$29,"N/A")</f>
        <v>N/A</v>
      </c>
      <c r="Y58" s="121" t="str">
        <f>+IFERROR(BS58+'[1]Master Sizer Inputs'!$T$29,"N/A")</f>
        <v>N/A</v>
      </c>
      <c r="Z58" s="122" t="str">
        <f>+IFERROR(BT58+'[1]Master Sizer Inputs'!$T$29,"N/A")</f>
        <v>N/A</v>
      </c>
      <c r="AA58" s="120" t="str">
        <f>+IFERROR(BU58+'[1]Master Sizer Inputs'!$T$29,"N/A")</f>
        <v>N/A</v>
      </c>
      <c r="AB58" s="120" t="str">
        <f>+IFERROR(BV58+'[1]Master Sizer Inputs'!$T$29,"N/A")</f>
        <v>N/A</v>
      </c>
      <c r="AC58" s="122" t="str">
        <f>+IFERROR(BW58+'[1]Master Sizer Inputs'!$T$29,"N/A")</f>
        <v>N/A</v>
      </c>
      <c r="AD58" s="116">
        <f t="shared" si="1"/>
        <v>0</v>
      </c>
      <c r="AE58" s="116">
        <v>7.4999999999999997E-3</v>
      </c>
      <c r="AF58" s="116">
        <f t="shared" si="7"/>
        <v>0.10654000000000002</v>
      </c>
      <c r="AG58" s="116">
        <f>$AO$26+(12*$AO$32)+(2*$AO$31)</f>
        <v>0.10654000000000001</v>
      </c>
      <c r="AH58" s="116">
        <f t="shared" si="8"/>
        <v>0.10704000000000002</v>
      </c>
      <c r="AI58" s="116">
        <f>$AO$26+(12*$AO$32)+(2*$AO$31)+(1*$AO$30)</f>
        <v>0.10704000000000001</v>
      </c>
      <c r="AJ58" s="116">
        <f t="shared" si="9"/>
        <v>0.10754000000000002</v>
      </c>
      <c r="AK58" s="198">
        <f>$AO$26+(12*$AO$32)+(2*$AO$31)+(2*$AO$30)</f>
        <v>0.10754000000000001</v>
      </c>
      <c r="BF58" s="81" t="s">
        <v>62</v>
      </c>
      <c r="BG58" s="82" t="s">
        <v>62</v>
      </c>
      <c r="BH58" s="83" t="s">
        <v>62</v>
      </c>
      <c r="BI58" s="81" t="s">
        <v>62</v>
      </c>
      <c r="BJ58" s="82" t="s">
        <v>62</v>
      </c>
      <c r="BK58" s="83" t="s">
        <v>62</v>
      </c>
      <c r="BL58" s="81" t="s">
        <v>62</v>
      </c>
      <c r="BM58" s="82" t="s">
        <v>62</v>
      </c>
      <c r="BN58" s="83" t="s">
        <v>62</v>
      </c>
      <c r="BO58" s="81" t="s">
        <v>62</v>
      </c>
      <c r="BP58" s="82" t="s">
        <v>62</v>
      </c>
      <c r="BQ58" s="83" t="s">
        <v>62</v>
      </c>
      <c r="BR58" s="81" t="s">
        <v>62</v>
      </c>
      <c r="BS58" s="82" t="s">
        <v>62</v>
      </c>
      <c r="BT58" s="83" t="s">
        <v>62</v>
      </c>
      <c r="BU58" s="81" t="s">
        <v>62</v>
      </c>
      <c r="BV58" s="82" t="s">
        <v>62</v>
      </c>
      <c r="BW58" s="83" t="s">
        <v>62</v>
      </c>
    </row>
    <row r="59" spans="3:75">
      <c r="C59" s="110" t="s">
        <v>43</v>
      </c>
      <c r="D59" s="110" t="s">
        <v>49</v>
      </c>
      <c r="E59" s="111">
        <v>1</v>
      </c>
      <c r="F59" s="111" t="str">
        <f t="shared" si="0"/>
        <v>FNFD1</v>
      </c>
      <c r="G59" s="111">
        <v>720</v>
      </c>
      <c r="H59" s="111" t="str">
        <f t="shared" si="6"/>
        <v>FNFD17203</v>
      </c>
      <c r="I59" s="111">
        <v>3</v>
      </c>
      <c r="J59" s="112">
        <v>2000000</v>
      </c>
      <c r="K59" s="112">
        <v>3499999</v>
      </c>
      <c r="L59" s="120">
        <f>+IFERROR(BF59+'[1]Master Sizer Inputs'!$T$29,"N/A")</f>
        <v>0.77499999999999991</v>
      </c>
      <c r="M59" s="121">
        <f>+IFERROR(BG59+'[1]Master Sizer Inputs'!$T$29,"N/A")</f>
        <v>0.72499999999999998</v>
      </c>
      <c r="N59" s="122">
        <f>+IFERROR(BH59+'[1]Master Sizer Inputs'!$T$29,"N/A")</f>
        <v>0.82499999999999996</v>
      </c>
      <c r="O59" s="120">
        <f>+IFERROR(BI59+'[1]Master Sizer Inputs'!$T$29,"N/A")</f>
        <v>0.77499999999999991</v>
      </c>
      <c r="P59" s="121">
        <f>+IFERROR(BJ59+'[1]Master Sizer Inputs'!$T$29,"N/A")</f>
        <v>0.72499999999999998</v>
      </c>
      <c r="Q59" s="122">
        <f>+IFERROR(BK59+'[1]Master Sizer Inputs'!$T$29,"N/A")</f>
        <v>0.82499999999999996</v>
      </c>
      <c r="R59" s="120">
        <f>+IFERROR(BL59+'[1]Master Sizer Inputs'!$T$29,"N/A")</f>
        <v>0.75</v>
      </c>
      <c r="S59" s="121">
        <f>+IFERROR(BM59+'[1]Master Sizer Inputs'!$T$29,"N/A")</f>
        <v>0.72499999999999998</v>
      </c>
      <c r="T59" s="122">
        <f>+IFERROR(BN59+'[1]Master Sizer Inputs'!$T$29,"N/A")</f>
        <v>0.79999999999999993</v>
      </c>
      <c r="U59" s="120">
        <f>+IFERROR(BO59+'[1]Master Sizer Inputs'!$T$29,"N/A")</f>
        <v>0.7</v>
      </c>
      <c r="V59" s="121">
        <f>+IFERROR(BP59+'[1]Master Sizer Inputs'!$T$29,"N/A")</f>
        <v>0.7</v>
      </c>
      <c r="W59" s="122">
        <f>+IFERROR(BQ59+'[1]Master Sizer Inputs'!$T$29,"N/A")</f>
        <v>0.79999999999999993</v>
      </c>
      <c r="X59" s="120">
        <f>+IFERROR(BR59+'[1]Master Sizer Inputs'!$T$29,"N/A")</f>
        <v>0.7</v>
      </c>
      <c r="Y59" s="121">
        <f>+IFERROR(BS59+'[1]Master Sizer Inputs'!$T$29,"N/A")</f>
        <v>0.7</v>
      </c>
      <c r="Z59" s="122">
        <f>+IFERROR(BT59+'[1]Master Sizer Inputs'!$T$29,"N/A")</f>
        <v>0.79999999999999993</v>
      </c>
      <c r="AA59" s="120">
        <f>+IFERROR(BU59+'[1]Master Sizer Inputs'!$T$29,"N/A")</f>
        <v>0.64999999999999991</v>
      </c>
      <c r="AB59" s="120">
        <f>+IFERROR(BV59+'[1]Master Sizer Inputs'!$T$29,"N/A")</f>
        <v>0.64999999999999991</v>
      </c>
      <c r="AC59" s="122">
        <f>+IFERROR(BW59+'[1]Master Sizer Inputs'!$T$29,"N/A")</f>
        <v>0.72499999999999987</v>
      </c>
      <c r="AD59" s="116">
        <f t="shared" si="1"/>
        <v>0</v>
      </c>
      <c r="AE59" s="116">
        <v>7.4999999999999997E-3</v>
      </c>
      <c r="AF59" s="116">
        <f t="shared" si="7"/>
        <v>0.10404000000000002</v>
      </c>
      <c r="AG59" s="116">
        <f>$AO$26+(12*$AO$32)+(1*$AO$31)</f>
        <v>0.10404000000000001</v>
      </c>
      <c r="AH59" s="116">
        <f t="shared" si="8"/>
        <v>0.10454000000000002</v>
      </c>
      <c r="AI59" s="116">
        <f>$AO$26+(12*$AO$32)+(1*$AO$31)+(1*$AO$30)</f>
        <v>0.10454000000000001</v>
      </c>
      <c r="AJ59" s="116">
        <f t="shared" si="9"/>
        <v>0.10504000000000002</v>
      </c>
      <c r="AK59" s="198">
        <f>$AO$26+(12*$AO$32)+(1*$AO$31)+(2*$AO$30)</f>
        <v>0.10504000000000001</v>
      </c>
      <c r="BF59" s="81">
        <v>0.77499999999999991</v>
      </c>
      <c r="BG59" s="82">
        <v>0.72499999999999998</v>
      </c>
      <c r="BH59" s="83">
        <v>0.82499999999999996</v>
      </c>
      <c r="BI59" s="81">
        <v>0.77499999999999991</v>
      </c>
      <c r="BJ59" s="82">
        <v>0.72499999999999998</v>
      </c>
      <c r="BK59" s="83">
        <v>0.82499999999999996</v>
      </c>
      <c r="BL59" s="81">
        <v>0.75</v>
      </c>
      <c r="BM59" s="82">
        <v>0.72499999999999998</v>
      </c>
      <c r="BN59" s="83">
        <v>0.79999999999999993</v>
      </c>
      <c r="BO59" s="81">
        <v>0.7</v>
      </c>
      <c r="BP59" s="82">
        <v>0.7</v>
      </c>
      <c r="BQ59" s="83">
        <v>0.79999999999999993</v>
      </c>
      <c r="BR59" s="81">
        <v>0.7</v>
      </c>
      <c r="BS59" s="82">
        <v>0.7</v>
      </c>
      <c r="BT59" s="83">
        <v>0.79999999999999993</v>
      </c>
      <c r="BU59" s="81">
        <v>0.64999999999999991</v>
      </c>
      <c r="BV59" s="82">
        <v>0.64999999999999991</v>
      </c>
      <c r="BW59" s="83">
        <v>0.72499999999999987</v>
      </c>
    </row>
    <row r="60" spans="3:75">
      <c r="C60" s="110" t="s">
        <v>43</v>
      </c>
      <c r="D60" s="110" t="s">
        <v>49</v>
      </c>
      <c r="E60" s="111">
        <v>1</v>
      </c>
      <c r="F60" s="111" t="str">
        <f t="shared" si="0"/>
        <v>FNFD1</v>
      </c>
      <c r="G60" s="111">
        <v>720</v>
      </c>
      <c r="H60" s="111" t="str">
        <f t="shared" si="6"/>
        <v>FNFD17202</v>
      </c>
      <c r="I60" s="111">
        <v>2</v>
      </c>
      <c r="J60" s="112">
        <v>1000000</v>
      </c>
      <c r="K60" s="112">
        <v>1999999</v>
      </c>
      <c r="L60" s="120">
        <f>+IFERROR(BF60+'[1]Master Sizer Inputs'!$T$29,"N/A")</f>
        <v>0.77500000000000002</v>
      </c>
      <c r="M60" s="121">
        <f>+IFERROR(BG60+'[1]Master Sizer Inputs'!$T$29,"N/A")</f>
        <v>0.72499999999999998</v>
      </c>
      <c r="N60" s="122">
        <f>+IFERROR(BH60+'[1]Master Sizer Inputs'!$T$29,"N/A")</f>
        <v>0.82499999999999996</v>
      </c>
      <c r="O60" s="120">
        <f>+IFERROR(BI60+'[1]Master Sizer Inputs'!$T$29,"N/A")</f>
        <v>0.77500000000000002</v>
      </c>
      <c r="P60" s="121">
        <f>+IFERROR(BJ60+'[1]Master Sizer Inputs'!$T$29,"N/A")</f>
        <v>0.72499999999999998</v>
      </c>
      <c r="Q60" s="122">
        <f>+IFERROR(BK60+'[1]Master Sizer Inputs'!$T$29,"N/A")</f>
        <v>0.82499999999999996</v>
      </c>
      <c r="R60" s="120">
        <f>+IFERROR(BL60+'[1]Master Sizer Inputs'!$T$29,"N/A")</f>
        <v>0.77500000000000002</v>
      </c>
      <c r="S60" s="121">
        <f>+IFERROR(BM60+'[1]Master Sizer Inputs'!$T$29,"N/A")</f>
        <v>0.72499999999999998</v>
      </c>
      <c r="T60" s="122">
        <f>+IFERROR(BN60+'[1]Master Sizer Inputs'!$T$29,"N/A")</f>
        <v>0.79999999999999993</v>
      </c>
      <c r="U60" s="120">
        <f>+IFERROR(BO60+'[1]Master Sizer Inputs'!$T$29,"N/A")</f>
        <v>0.72499999999999998</v>
      </c>
      <c r="V60" s="121">
        <f>+IFERROR(BP60+'[1]Master Sizer Inputs'!$T$29,"N/A")</f>
        <v>0.72499999999999998</v>
      </c>
      <c r="W60" s="122">
        <f>+IFERROR(BQ60+'[1]Master Sizer Inputs'!$T$29,"N/A")</f>
        <v>0.79999999999999993</v>
      </c>
      <c r="X60" s="120">
        <f>+IFERROR(BR60+'[1]Master Sizer Inputs'!$T$29,"N/A")</f>
        <v>0.72499999999999998</v>
      </c>
      <c r="Y60" s="121">
        <f>+IFERROR(BS60+'[1]Master Sizer Inputs'!$T$29,"N/A")</f>
        <v>0.72499999999999998</v>
      </c>
      <c r="Z60" s="122">
        <f>+IFERROR(BT60+'[1]Master Sizer Inputs'!$T$29,"N/A")</f>
        <v>0.79999999999999993</v>
      </c>
      <c r="AA60" s="120">
        <f>+IFERROR(BU60+'[1]Master Sizer Inputs'!$T$29,"N/A")</f>
        <v>0.67499999999999993</v>
      </c>
      <c r="AB60" s="120">
        <f>+IFERROR(BV60+'[1]Master Sizer Inputs'!$T$29,"N/A")</f>
        <v>0.67499999999999993</v>
      </c>
      <c r="AC60" s="122">
        <f>+IFERROR(BW60+'[1]Master Sizer Inputs'!$T$29,"N/A")</f>
        <v>0.72499999999999987</v>
      </c>
      <c r="AD60" s="116">
        <f t="shared" si="1"/>
        <v>0</v>
      </c>
      <c r="AE60" s="116">
        <v>7.4999999999999997E-3</v>
      </c>
      <c r="AF60" s="116">
        <f t="shared" si="7"/>
        <v>0.10154000000000002</v>
      </c>
      <c r="AG60" s="116">
        <f>$AO$26+(12*$AO$32)</f>
        <v>0.10154000000000001</v>
      </c>
      <c r="AH60" s="116">
        <f t="shared" si="8"/>
        <v>0.10204000000000002</v>
      </c>
      <c r="AI60" s="116">
        <f>$AO$26+(12*$AO$32)+(0*$AO$31)+(1*$AO$30)</f>
        <v>0.10204000000000001</v>
      </c>
      <c r="AJ60" s="116">
        <f t="shared" si="9"/>
        <v>0.10254000000000002</v>
      </c>
      <c r="AK60" s="198">
        <f>$AO$26+(12*$AO$32)+(0*$AO$31)+(2*$AO$30)</f>
        <v>0.10254000000000001</v>
      </c>
      <c r="BF60" s="81">
        <v>0.77500000000000002</v>
      </c>
      <c r="BG60" s="82">
        <v>0.72499999999999998</v>
      </c>
      <c r="BH60" s="83">
        <v>0.82499999999999996</v>
      </c>
      <c r="BI60" s="81">
        <v>0.77500000000000002</v>
      </c>
      <c r="BJ60" s="82">
        <v>0.72499999999999998</v>
      </c>
      <c r="BK60" s="83">
        <v>0.82499999999999996</v>
      </c>
      <c r="BL60" s="81">
        <v>0.77500000000000002</v>
      </c>
      <c r="BM60" s="82">
        <v>0.72499999999999998</v>
      </c>
      <c r="BN60" s="83">
        <v>0.79999999999999993</v>
      </c>
      <c r="BO60" s="81">
        <v>0.72499999999999998</v>
      </c>
      <c r="BP60" s="82">
        <v>0.72499999999999998</v>
      </c>
      <c r="BQ60" s="83">
        <v>0.79999999999999993</v>
      </c>
      <c r="BR60" s="81">
        <v>0.72499999999999998</v>
      </c>
      <c r="BS60" s="82">
        <v>0.72499999999999998</v>
      </c>
      <c r="BT60" s="83">
        <v>0.79999999999999993</v>
      </c>
      <c r="BU60" s="81">
        <v>0.67499999999999993</v>
      </c>
      <c r="BV60" s="82">
        <v>0.67499999999999993</v>
      </c>
      <c r="BW60" s="83">
        <v>0.72499999999999987</v>
      </c>
    </row>
    <row r="61" spans="3:75" ht="16.5" thickBot="1">
      <c r="C61" s="110" t="s">
        <v>43</v>
      </c>
      <c r="D61" s="110" t="s">
        <v>49</v>
      </c>
      <c r="E61" s="111">
        <v>1</v>
      </c>
      <c r="F61" s="111" t="str">
        <f t="shared" si="0"/>
        <v>FNFD1</v>
      </c>
      <c r="G61" s="111">
        <v>720</v>
      </c>
      <c r="H61" s="111" t="str">
        <f t="shared" si="6"/>
        <v>FNFD17201</v>
      </c>
      <c r="I61" s="111">
        <v>1</v>
      </c>
      <c r="J61" s="112">
        <v>150000</v>
      </c>
      <c r="K61" s="112">
        <v>999999</v>
      </c>
      <c r="L61" s="117">
        <f>+IFERROR(BF61+'[1]Master Sizer Inputs'!$T$29,"N/A")</f>
        <v>0.77500000000000002</v>
      </c>
      <c r="M61" s="118">
        <f>+IFERROR(BG61+'[1]Master Sizer Inputs'!$T$29,"N/A")</f>
        <v>0.72499999999999998</v>
      </c>
      <c r="N61" s="119">
        <f>+IFERROR(BH61+'[1]Master Sizer Inputs'!$T$29,"N/A")</f>
        <v>0.82499999999999996</v>
      </c>
      <c r="O61" s="117">
        <f>+IFERROR(BI61+'[1]Master Sizer Inputs'!$T$29,"N/A")</f>
        <v>0.77500000000000002</v>
      </c>
      <c r="P61" s="118">
        <f>+IFERROR(BJ61+'[1]Master Sizer Inputs'!$T$29,"N/A")</f>
        <v>0.72499999999999998</v>
      </c>
      <c r="Q61" s="119">
        <f>+IFERROR(BK61+'[1]Master Sizer Inputs'!$T$29,"N/A")</f>
        <v>0.82499999999999996</v>
      </c>
      <c r="R61" s="117">
        <f>+IFERROR(BL61+'[1]Master Sizer Inputs'!$T$29,"N/A")</f>
        <v>0.77500000000000002</v>
      </c>
      <c r="S61" s="118">
        <f>+IFERROR(BM61+'[1]Master Sizer Inputs'!$T$29,"N/A")</f>
        <v>0.72499999999999998</v>
      </c>
      <c r="T61" s="119">
        <f>+IFERROR(BN61+'[1]Master Sizer Inputs'!$T$29,"N/A")</f>
        <v>0.79999999999999993</v>
      </c>
      <c r="U61" s="117">
        <f>+IFERROR(BO61+'[1]Master Sizer Inputs'!$T$29,"N/A")</f>
        <v>0.72499999999999998</v>
      </c>
      <c r="V61" s="118">
        <f>+IFERROR(BP61+'[1]Master Sizer Inputs'!$T$29,"N/A")</f>
        <v>0.72499999999999998</v>
      </c>
      <c r="W61" s="119">
        <f>+IFERROR(BQ61+'[1]Master Sizer Inputs'!$T$29,"N/A")</f>
        <v>0.79999999999999993</v>
      </c>
      <c r="X61" s="117">
        <f>+IFERROR(BR61+'[1]Master Sizer Inputs'!$T$29,"N/A")</f>
        <v>0.72499999999999998</v>
      </c>
      <c r="Y61" s="118">
        <f>+IFERROR(BS61+'[1]Master Sizer Inputs'!$T$29,"N/A")</f>
        <v>0.72499999999999998</v>
      </c>
      <c r="Z61" s="119">
        <f>+IFERROR(BT61+'[1]Master Sizer Inputs'!$T$29,"N/A")</f>
        <v>0.79999999999999993</v>
      </c>
      <c r="AA61" s="117">
        <f>+IFERROR(BU61+'[1]Master Sizer Inputs'!$T$29,"N/A")</f>
        <v>0.67499999999999993</v>
      </c>
      <c r="AB61" s="117">
        <f>+IFERROR(BV61+'[1]Master Sizer Inputs'!$T$29,"N/A")</f>
        <v>0.67499999999999993</v>
      </c>
      <c r="AC61" s="119">
        <f>+IFERROR(BW61+'[1]Master Sizer Inputs'!$T$29,"N/A")</f>
        <v>0.72499999999999987</v>
      </c>
      <c r="AD61" s="116">
        <f t="shared" si="1"/>
        <v>0</v>
      </c>
      <c r="AE61" s="116">
        <v>7.4999999999999997E-3</v>
      </c>
      <c r="AF61" s="116">
        <f t="shared" si="7"/>
        <v>0.10154000000000002</v>
      </c>
      <c r="AG61" s="116">
        <f>$AO$26+(12*$AO$32)</f>
        <v>0.10154000000000001</v>
      </c>
      <c r="AH61" s="116">
        <f t="shared" si="8"/>
        <v>0.10204000000000002</v>
      </c>
      <c r="AI61" s="116">
        <f>$AO$26+(12*$AO$32)+(0*$AO$31)+(1*$AO$30)</f>
        <v>0.10204000000000001</v>
      </c>
      <c r="AJ61" s="116">
        <f t="shared" si="9"/>
        <v>0.10254000000000002</v>
      </c>
      <c r="AK61" s="198">
        <f>$AO$26+(12*$AO$32)+(0*$AO$31)+(2*$AO$30)</f>
        <v>0.10254000000000001</v>
      </c>
      <c r="BF61" s="43">
        <v>0.77500000000000002</v>
      </c>
      <c r="BG61" s="44">
        <v>0.72499999999999998</v>
      </c>
      <c r="BH61" s="45">
        <v>0.82499999999999996</v>
      </c>
      <c r="BI61" s="43">
        <v>0.77500000000000002</v>
      </c>
      <c r="BJ61" s="44">
        <v>0.72499999999999998</v>
      </c>
      <c r="BK61" s="45">
        <v>0.82499999999999996</v>
      </c>
      <c r="BL61" s="43">
        <v>0.77500000000000002</v>
      </c>
      <c r="BM61" s="44">
        <v>0.72499999999999998</v>
      </c>
      <c r="BN61" s="45">
        <v>0.79999999999999993</v>
      </c>
      <c r="BO61" s="43">
        <v>0.72499999999999998</v>
      </c>
      <c r="BP61" s="44">
        <v>0.72499999999999998</v>
      </c>
      <c r="BQ61" s="45">
        <v>0.79999999999999993</v>
      </c>
      <c r="BR61" s="43">
        <v>0.72499999999999998</v>
      </c>
      <c r="BS61" s="44">
        <v>0.72499999999999998</v>
      </c>
      <c r="BT61" s="45">
        <v>0.79999999999999993</v>
      </c>
      <c r="BU61" s="43">
        <v>0.67499999999999993</v>
      </c>
      <c r="BV61" s="44">
        <v>0.67499999999999993</v>
      </c>
      <c r="BW61" s="45">
        <v>0.72499999999999987</v>
      </c>
    </row>
    <row r="62" spans="3:75">
      <c r="C62" s="46" t="s">
        <v>43</v>
      </c>
      <c r="D62" s="46" t="s">
        <v>49</v>
      </c>
      <c r="E62" s="47">
        <v>1</v>
      </c>
      <c r="F62" s="47" t="str">
        <f t="shared" si="0"/>
        <v>FNFD1</v>
      </c>
      <c r="G62" s="47">
        <v>700</v>
      </c>
      <c r="H62" s="47" t="str">
        <f t="shared" si="6"/>
        <v>FNFD17004</v>
      </c>
      <c r="I62" s="47">
        <v>4</v>
      </c>
      <c r="J62" s="48">
        <v>3500000</v>
      </c>
      <c r="K62" s="48">
        <v>4999999</v>
      </c>
      <c r="L62" s="84" t="str">
        <f>+IFERROR(BF62+'[1]Master Sizer Inputs'!$T$29,"N/A")</f>
        <v>N/A</v>
      </c>
      <c r="M62" s="85" t="str">
        <f>+IFERROR(BG62+'[1]Master Sizer Inputs'!$T$29,"N/A")</f>
        <v>N/A</v>
      </c>
      <c r="N62" s="86" t="str">
        <f>+IFERROR(BH62+'[1]Master Sizer Inputs'!$T$29,"N/A")</f>
        <v>N/A</v>
      </c>
      <c r="O62" s="84" t="str">
        <f>+IFERROR(BI62+'[1]Master Sizer Inputs'!$T$29,"N/A")</f>
        <v>N/A</v>
      </c>
      <c r="P62" s="85" t="str">
        <f>+IFERROR(BJ62+'[1]Master Sizer Inputs'!$T$29,"N/A")</f>
        <v>N/A</v>
      </c>
      <c r="Q62" s="86" t="str">
        <f>+IFERROR(BK62+'[1]Master Sizer Inputs'!$T$29,"N/A")</f>
        <v>N/A</v>
      </c>
      <c r="R62" s="84" t="str">
        <f>+IFERROR(BL62+'[1]Master Sizer Inputs'!$T$29,"N/A")</f>
        <v>N/A</v>
      </c>
      <c r="S62" s="85" t="str">
        <f>+IFERROR(BM62+'[1]Master Sizer Inputs'!$T$29,"N/A")</f>
        <v>N/A</v>
      </c>
      <c r="T62" s="86" t="str">
        <f>+IFERROR(BN62+'[1]Master Sizer Inputs'!$T$29,"N/A")</f>
        <v>N/A</v>
      </c>
      <c r="U62" s="84" t="str">
        <f>+IFERROR(BO62+'[1]Master Sizer Inputs'!$T$29,"N/A")</f>
        <v>N/A</v>
      </c>
      <c r="V62" s="85" t="str">
        <f>+IFERROR(BP62+'[1]Master Sizer Inputs'!$T$29,"N/A")</f>
        <v>N/A</v>
      </c>
      <c r="W62" s="86" t="str">
        <f>+IFERROR(BQ62+'[1]Master Sizer Inputs'!$T$29,"N/A")</f>
        <v>N/A</v>
      </c>
      <c r="X62" s="84" t="str">
        <f>+IFERROR(BR62+'[1]Master Sizer Inputs'!$T$29,"N/A")</f>
        <v>N/A</v>
      </c>
      <c r="Y62" s="85" t="str">
        <f>+IFERROR(BS62+'[1]Master Sizer Inputs'!$T$29,"N/A")</f>
        <v>N/A</v>
      </c>
      <c r="Z62" s="86" t="str">
        <f>+IFERROR(BT62+'[1]Master Sizer Inputs'!$T$29,"N/A")</f>
        <v>N/A</v>
      </c>
      <c r="AA62" s="84" t="str">
        <f>+IFERROR(BU62+'[1]Master Sizer Inputs'!$T$29,"N/A")</f>
        <v>N/A</v>
      </c>
      <c r="AB62" s="84" t="str">
        <f>+IFERROR(BV62+'[1]Master Sizer Inputs'!$T$29,"N/A")</f>
        <v>N/A</v>
      </c>
      <c r="AC62" s="86" t="str">
        <f>+IFERROR(BW62+'[1]Master Sizer Inputs'!$T$29,"N/A")</f>
        <v>N/A</v>
      </c>
      <c r="AD62" s="52">
        <f t="shared" si="1"/>
        <v>0</v>
      </c>
      <c r="AE62" s="52">
        <v>7.4999999999999997E-3</v>
      </c>
      <c r="AF62" s="52">
        <f t="shared" si="7"/>
        <v>0.10779000000000002</v>
      </c>
      <c r="AG62" s="52">
        <f>$AO$26+(13*$AO$32)+(2*$AO$31)</f>
        <v>0.10779000000000001</v>
      </c>
      <c r="AH62" s="52">
        <f t="shared" si="8"/>
        <v>0.10829000000000003</v>
      </c>
      <c r="AI62" s="52">
        <f>$AO$26+(13*$AO$32)+(2*$AO$31)+(1*$AO$30)</f>
        <v>0.10829000000000001</v>
      </c>
      <c r="AJ62" s="52">
        <f t="shared" si="9"/>
        <v>0.10879000000000003</v>
      </c>
      <c r="AK62" s="199">
        <f>$AO$26+(13*$AO$32)+(2*$AO$31)+(2*$AO$30)</f>
        <v>0.10879000000000001</v>
      </c>
      <c r="BF62" s="84" t="s">
        <v>62</v>
      </c>
      <c r="BG62" s="85" t="s">
        <v>62</v>
      </c>
      <c r="BH62" s="86" t="s">
        <v>62</v>
      </c>
      <c r="BI62" s="84" t="s">
        <v>62</v>
      </c>
      <c r="BJ62" s="85" t="s">
        <v>62</v>
      </c>
      <c r="BK62" s="86" t="s">
        <v>62</v>
      </c>
      <c r="BL62" s="84" t="s">
        <v>62</v>
      </c>
      <c r="BM62" s="85" t="s">
        <v>62</v>
      </c>
      <c r="BN62" s="86" t="s">
        <v>62</v>
      </c>
      <c r="BO62" s="84" t="s">
        <v>62</v>
      </c>
      <c r="BP62" s="85" t="s">
        <v>62</v>
      </c>
      <c r="BQ62" s="86" t="s">
        <v>62</v>
      </c>
      <c r="BR62" s="84" t="s">
        <v>62</v>
      </c>
      <c r="BS62" s="85" t="s">
        <v>62</v>
      </c>
      <c r="BT62" s="86" t="s">
        <v>62</v>
      </c>
      <c r="BU62" s="84" t="s">
        <v>62</v>
      </c>
      <c r="BV62" s="85" t="s">
        <v>62</v>
      </c>
      <c r="BW62" s="86" t="s">
        <v>62</v>
      </c>
    </row>
    <row r="63" spans="3:75">
      <c r="C63" s="46" t="s">
        <v>43</v>
      </c>
      <c r="D63" s="46" t="s">
        <v>49</v>
      </c>
      <c r="E63" s="47">
        <v>1</v>
      </c>
      <c r="F63" s="47" t="str">
        <f t="shared" si="0"/>
        <v>FNFD1</v>
      </c>
      <c r="G63" s="47">
        <v>700</v>
      </c>
      <c r="H63" s="47" t="str">
        <f t="shared" si="6"/>
        <v>FNFD17003</v>
      </c>
      <c r="I63" s="47">
        <v>3</v>
      </c>
      <c r="J63" s="48">
        <v>2000000</v>
      </c>
      <c r="K63" s="48">
        <v>3499999</v>
      </c>
      <c r="L63" s="84">
        <f>+IFERROR(BF63+'[1]Master Sizer Inputs'!$T$29,"N/A")</f>
        <v>0.77499999999999991</v>
      </c>
      <c r="M63" s="85">
        <f>+IFERROR(BG63+'[1]Master Sizer Inputs'!$T$29,"N/A")</f>
        <v>0.7</v>
      </c>
      <c r="N63" s="86">
        <f>+IFERROR(BH63+'[1]Master Sizer Inputs'!$T$29,"N/A")</f>
        <v>0.82499999999999996</v>
      </c>
      <c r="O63" s="84">
        <f>+IFERROR(BI63+'[1]Master Sizer Inputs'!$T$29,"N/A")</f>
        <v>0.77499999999999991</v>
      </c>
      <c r="P63" s="85">
        <f>+IFERROR(BJ63+'[1]Master Sizer Inputs'!$T$29,"N/A")</f>
        <v>0.7</v>
      </c>
      <c r="Q63" s="86">
        <f>+IFERROR(BK63+'[1]Master Sizer Inputs'!$T$29,"N/A")</f>
        <v>0.82499999999999996</v>
      </c>
      <c r="R63" s="84">
        <f>+IFERROR(BL63+'[1]Master Sizer Inputs'!$T$29,"N/A")</f>
        <v>0.75</v>
      </c>
      <c r="S63" s="85">
        <f>+IFERROR(BM63+'[1]Master Sizer Inputs'!$T$29,"N/A")</f>
        <v>0.7</v>
      </c>
      <c r="T63" s="86">
        <f>+IFERROR(BN63+'[1]Master Sizer Inputs'!$T$29,"N/A")</f>
        <v>0.79999999999999993</v>
      </c>
      <c r="U63" s="84">
        <f>+IFERROR(BO63+'[1]Master Sizer Inputs'!$T$29,"N/A")</f>
        <v>0.7</v>
      </c>
      <c r="V63" s="85">
        <f>+IFERROR(BP63+'[1]Master Sizer Inputs'!$T$29,"N/A")</f>
        <v>0.7</v>
      </c>
      <c r="W63" s="86">
        <f>+IFERROR(BQ63+'[1]Master Sizer Inputs'!$T$29,"N/A")</f>
        <v>0.79999999999999993</v>
      </c>
      <c r="X63" s="84">
        <f>+IFERROR(BR63+'[1]Master Sizer Inputs'!$T$29,"N/A")</f>
        <v>0.7</v>
      </c>
      <c r="Y63" s="85">
        <f>+IFERROR(BS63+'[1]Master Sizer Inputs'!$T$29,"N/A")</f>
        <v>0.7</v>
      </c>
      <c r="Z63" s="86">
        <f>+IFERROR(BT63+'[1]Master Sizer Inputs'!$T$29,"N/A")</f>
        <v>0.79999999999999993</v>
      </c>
      <c r="AA63" s="84">
        <f>+IFERROR(BU63+'[1]Master Sizer Inputs'!$T$29,"N/A")</f>
        <v>0.64999999999999991</v>
      </c>
      <c r="AB63" s="84">
        <f>+IFERROR(BV63+'[1]Master Sizer Inputs'!$T$29,"N/A")</f>
        <v>0.64999999999999991</v>
      </c>
      <c r="AC63" s="86">
        <f>+IFERROR(BW63+'[1]Master Sizer Inputs'!$T$29,"N/A")</f>
        <v>0.72499999999999987</v>
      </c>
      <c r="AD63" s="52">
        <f t="shared" si="1"/>
        <v>0</v>
      </c>
      <c r="AE63" s="52">
        <v>7.4999999999999997E-3</v>
      </c>
      <c r="AF63" s="52">
        <f t="shared" si="7"/>
        <v>0.10529000000000002</v>
      </c>
      <c r="AG63" s="52">
        <f>$AO$26+(13*$AO$32)+(1*$AO$31)</f>
        <v>0.10529000000000001</v>
      </c>
      <c r="AH63" s="52">
        <f t="shared" si="8"/>
        <v>0.10579000000000002</v>
      </c>
      <c r="AI63" s="52">
        <f>$AO$26+(13*$AO$32)+(1*$AO$31)+(1*$AO$30)</f>
        <v>0.10579000000000001</v>
      </c>
      <c r="AJ63" s="52">
        <f t="shared" si="9"/>
        <v>0.10629000000000002</v>
      </c>
      <c r="AK63" s="199">
        <f>$AO$26+(13*$AO$32)+(1*$AO$31)+(2*$AO$30)</f>
        <v>0.10629000000000001</v>
      </c>
      <c r="BF63" s="84">
        <v>0.77499999999999991</v>
      </c>
      <c r="BG63" s="85">
        <v>0.7</v>
      </c>
      <c r="BH63" s="86">
        <v>0.82499999999999996</v>
      </c>
      <c r="BI63" s="84">
        <v>0.77499999999999991</v>
      </c>
      <c r="BJ63" s="85">
        <v>0.7</v>
      </c>
      <c r="BK63" s="86">
        <v>0.82499999999999996</v>
      </c>
      <c r="BL63" s="84">
        <v>0.75</v>
      </c>
      <c r="BM63" s="85">
        <v>0.7</v>
      </c>
      <c r="BN63" s="86">
        <v>0.79999999999999993</v>
      </c>
      <c r="BO63" s="84">
        <v>0.7</v>
      </c>
      <c r="BP63" s="85">
        <v>0.7</v>
      </c>
      <c r="BQ63" s="86">
        <v>0.79999999999999993</v>
      </c>
      <c r="BR63" s="84">
        <v>0.7</v>
      </c>
      <c r="BS63" s="85">
        <v>0.7</v>
      </c>
      <c r="BT63" s="86">
        <v>0.79999999999999993</v>
      </c>
      <c r="BU63" s="84">
        <v>0.64999999999999991</v>
      </c>
      <c r="BV63" s="85">
        <v>0.64999999999999991</v>
      </c>
      <c r="BW63" s="86">
        <v>0.72499999999999987</v>
      </c>
    </row>
    <row r="64" spans="3:75">
      <c r="C64" s="46" t="s">
        <v>43</v>
      </c>
      <c r="D64" s="46" t="s">
        <v>49</v>
      </c>
      <c r="E64" s="47">
        <v>1</v>
      </c>
      <c r="F64" s="47" t="str">
        <f t="shared" si="0"/>
        <v>FNFD1</v>
      </c>
      <c r="G64" s="47">
        <v>700</v>
      </c>
      <c r="H64" s="47" t="str">
        <f t="shared" si="6"/>
        <v>FNFD17002</v>
      </c>
      <c r="I64" s="47">
        <v>2</v>
      </c>
      <c r="J64" s="48">
        <v>1000000</v>
      </c>
      <c r="K64" s="48">
        <v>1999999</v>
      </c>
      <c r="L64" s="84">
        <f>+IFERROR(BF64+'[1]Master Sizer Inputs'!$T$29,"N/A")</f>
        <v>0.77500000000000002</v>
      </c>
      <c r="M64" s="85">
        <f>+IFERROR(BG64+'[1]Master Sizer Inputs'!$T$29,"N/A")</f>
        <v>0.7</v>
      </c>
      <c r="N64" s="86">
        <f>+IFERROR(BH64+'[1]Master Sizer Inputs'!$T$29,"N/A")</f>
        <v>0.82499999999999996</v>
      </c>
      <c r="O64" s="84">
        <f>+IFERROR(BI64+'[1]Master Sizer Inputs'!$T$29,"N/A")</f>
        <v>0.77500000000000002</v>
      </c>
      <c r="P64" s="85">
        <f>+IFERROR(BJ64+'[1]Master Sizer Inputs'!$T$29,"N/A")</f>
        <v>0.7</v>
      </c>
      <c r="Q64" s="86">
        <f>+IFERROR(BK64+'[1]Master Sizer Inputs'!$T$29,"N/A")</f>
        <v>0.82499999999999996</v>
      </c>
      <c r="R64" s="84">
        <f>+IFERROR(BL64+'[1]Master Sizer Inputs'!$T$29,"N/A")</f>
        <v>0.77500000000000002</v>
      </c>
      <c r="S64" s="85">
        <f>+IFERROR(BM64+'[1]Master Sizer Inputs'!$T$29,"N/A")</f>
        <v>0.7</v>
      </c>
      <c r="T64" s="86">
        <f>+IFERROR(BN64+'[1]Master Sizer Inputs'!$T$29,"N/A")</f>
        <v>0.79999999999999993</v>
      </c>
      <c r="U64" s="84">
        <f>+IFERROR(BO64+'[1]Master Sizer Inputs'!$T$29,"N/A")</f>
        <v>0.72499999999999998</v>
      </c>
      <c r="V64" s="85">
        <f>+IFERROR(BP64+'[1]Master Sizer Inputs'!$T$29,"N/A")</f>
        <v>0.72499999999999998</v>
      </c>
      <c r="W64" s="86">
        <f>+IFERROR(BQ64+'[1]Master Sizer Inputs'!$T$29,"N/A")</f>
        <v>0.79999999999999993</v>
      </c>
      <c r="X64" s="84">
        <f>+IFERROR(BR64+'[1]Master Sizer Inputs'!$T$29,"N/A")</f>
        <v>0.72499999999999998</v>
      </c>
      <c r="Y64" s="85">
        <f>+IFERROR(BS64+'[1]Master Sizer Inputs'!$T$29,"N/A")</f>
        <v>0.72499999999999998</v>
      </c>
      <c r="Z64" s="86">
        <f>+IFERROR(BT64+'[1]Master Sizer Inputs'!$T$29,"N/A")</f>
        <v>0.79999999999999993</v>
      </c>
      <c r="AA64" s="84">
        <f>+IFERROR(BU64+'[1]Master Sizer Inputs'!$T$29,"N/A")</f>
        <v>0.67499999999999993</v>
      </c>
      <c r="AB64" s="84">
        <f>+IFERROR(BV64+'[1]Master Sizer Inputs'!$T$29,"N/A")</f>
        <v>0.64999999999999991</v>
      </c>
      <c r="AC64" s="86">
        <f>+IFERROR(BW64+'[1]Master Sizer Inputs'!$T$29,"N/A")</f>
        <v>0.72499999999999987</v>
      </c>
      <c r="AD64" s="52">
        <f t="shared" si="1"/>
        <v>0</v>
      </c>
      <c r="AE64" s="52">
        <v>7.4999999999999997E-3</v>
      </c>
      <c r="AF64" s="52">
        <f t="shared" si="7"/>
        <v>0.10279000000000002</v>
      </c>
      <c r="AG64" s="52">
        <f>$AO$26+(13*$AO$32)</f>
        <v>0.10279000000000001</v>
      </c>
      <c r="AH64" s="52">
        <f t="shared" si="8"/>
        <v>0.10329000000000002</v>
      </c>
      <c r="AI64" s="52">
        <f>$AO$26+(13*$AO$32)+(0*$AO$31)+(1*$AO$30)</f>
        <v>0.10329000000000001</v>
      </c>
      <c r="AJ64" s="52">
        <f t="shared" si="9"/>
        <v>0.10379000000000002</v>
      </c>
      <c r="AK64" s="199">
        <f>$AO$26+(13*$AO$32)+(0*$AO$31)+(2*$AO$30)</f>
        <v>0.10379000000000001</v>
      </c>
      <c r="BF64" s="84">
        <v>0.77500000000000002</v>
      </c>
      <c r="BG64" s="85">
        <v>0.7</v>
      </c>
      <c r="BH64" s="86">
        <v>0.82499999999999996</v>
      </c>
      <c r="BI64" s="84">
        <v>0.77500000000000002</v>
      </c>
      <c r="BJ64" s="85">
        <v>0.7</v>
      </c>
      <c r="BK64" s="86">
        <v>0.82499999999999996</v>
      </c>
      <c r="BL64" s="84">
        <v>0.77500000000000002</v>
      </c>
      <c r="BM64" s="85">
        <v>0.7</v>
      </c>
      <c r="BN64" s="86">
        <v>0.79999999999999993</v>
      </c>
      <c r="BO64" s="84">
        <v>0.72499999999999998</v>
      </c>
      <c r="BP64" s="85">
        <v>0.72499999999999998</v>
      </c>
      <c r="BQ64" s="86">
        <v>0.79999999999999993</v>
      </c>
      <c r="BR64" s="84">
        <v>0.72499999999999998</v>
      </c>
      <c r="BS64" s="85">
        <v>0.72499999999999998</v>
      </c>
      <c r="BT64" s="86">
        <v>0.79999999999999993</v>
      </c>
      <c r="BU64" s="84">
        <v>0.67499999999999993</v>
      </c>
      <c r="BV64" s="85">
        <v>0.64999999999999991</v>
      </c>
      <c r="BW64" s="86">
        <v>0.72499999999999987</v>
      </c>
    </row>
    <row r="65" spans="3:75" ht="16.5" thickBot="1">
      <c r="C65" s="46" t="s">
        <v>43</v>
      </c>
      <c r="D65" s="46" t="s">
        <v>49</v>
      </c>
      <c r="E65" s="47">
        <v>1</v>
      </c>
      <c r="F65" s="47" t="str">
        <f t="shared" si="0"/>
        <v>FNFD1</v>
      </c>
      <c r="G65" s="47">
        <v>700</v>
      </c>
      <c r="H65" s="47" t="str">
        <f t="shared" si="6"/>
        <v>FNFD17001</v>
      </c>
      <c r="I65" s="47">
        <v>1</v>
      </c>
      <c r="J65" s="48">
        <v>150000</v>
      </c>
      <c r="K65" s="48">
        <v>999999</v>
      </c>
      <c r="L65" s="54">
        <f>+IFERROR(BF65+'[1]Master Sizer Inputs'!$T$29,"N/A")</f>
        <v>0.77500000000000002</v>
      </c>
      <c r="M65" s="55">
        <f>+IFERROR(BG65+'[1]Master Sizer Inputs'!$T$29,"N/A")</f>
        <v>0.72499999999999998</v>
      </c>
      <c r="N65" s="56">
        <f>+IFERROR(BH65+'[1]Master Sizer Inputs'!$T$29,"N/A")</f>
        <v>0.82499999999999996</v>
      </c>
      <c r="O65" s="54">
        <f>+IFERROR(BI65+'[1]Master Sizer Inputs'!$T$29,"N/A")</f>
        <v>0.77500000000000002</v>
      </c>
      <c r="P65" s="55">
        <f>+IFERROR(BJ65+'[1]Master Sizer Inputs'!$T$29,"N/A")</f>
        <v>0.72499999999999998</v>
      </c>
      <c r="Q65" s="56">
        <f>+IFERROR(BK65+'[1]Master Sizer Inputs'!$T$29,"N/A")</f>
        <v>0.82499999999999996</v>
      </c>
      <c r="R65" s="54">
        <f>+IFERROR(BL65+'[1]Master Sizer Inputs'!$T$29,"N/A")</f>
        <v>0.77500000000000002</v>
      </c>
      <c r="S65" s="55">
        <f>+IFERROR(BM65+'[1]Master Sizer Inputs'!$T$29,"N/A")</f>
        <v>0.72499999999999998</v>
      </c>
      <c r="T65" s="56">
        <f>+IFERROR(BN65+'[1]Master Sizer Inputs'!$T$29,"N/A")</f>
        <v>0.79999999999999993</v>
      </c>
      <c r="U65" s="54">
        <f>+IFERROR(BO65+'[1]Master Sizer Inputs'!$T$29,"N/A")</f>
        <v>0.72499999999999998</v>
      </c>
      <c r="V65" s="55">
        <f>+IFERROR(BP65+'[1]Master Sizer Inputs'!$T$29,"N/A")</f>
        <v>0.72499999999999998</v>
      </c>
      <c r="W65" s="56">
        <f>+IFERROR(BQ65+'[1]Master Sizer Inputs'!$T$29,"N/A")</f>
        <v>0.79999999999999993</v>
      </c>
      <c r="X65" s="54">
        <f>+IFERROR(BR65+'[1]Master Sizer Inputs'!$T$29,"N/A")</f>
        <v>0.72499999999999998</v>
      </c>
      <c r="Y65" s="55">
        <f>+IFERROR(BS65+'[1]Master Sizer Inputs'!$T$29,"N/A")</f>
        <v>0.72499999999999998</v>
      </c>
      <c r="Z65" s="56">
        <f>+IFERROR(BT65+'[1]Master Sizer Inputs'!$T$29,"N/A")</f>
        <v>0.79999999999999993</v>
      </c>
      <c r="AA65" s="54">
        <f>+IFERROR(BU65+'[1]Master Sizer Inputs'!$T$29,"N/A")</f>
        <v>0.67499999999999993</v>
      </c>
      <c r="AB65" s="54">
        <f>+IFERROR(BV65+'[1]Master Sizer Inputs'!$T$29,"N/A")</f>
        <v>0.67499999999999993</v>
      </c>
      <c r="AC65" s="56">
        <f>+IFERROR(BW65+'[1]Master Sizer Inputs'!$T$29,"N/A")</f>
        <v>0.72499999999999987</v>
      </c>
      <c r="AD65" s="52">
        <f t="shared" si="1"/>
        <v>0</v>
      </c>
      <c r="AE65" s="52">
        <v>7.4999999999999997E-3</v>
      </c>
      <c r="AF65" s="52">
        <f t="shared" si="7"/>
        <v>0.10279000000000002</v>
      </c>
      <c r="AG65" s="52">
        <f>$AO$26+(13*$AO$32)</f>
        <v>0.10279000000000001</v>
      </c>
      <c r="AH65" s="52">
        <f t="shared" si="8"/>
        <v>0.10329000000000002</v>
      </c>
      <c r="AI65" s="52">
        <f>$AO$26+(13*$AO$32)+(0*$AO$31)+(1*$AO$30)</f>
        <v>0.10329000000000001</v>
      </c>
      <c r="AJ65" s="52">
        <f t="shared" si="9"/>
        <v>0.10379000000000002</v>
      </c>
      <c r="AK65" s="199">
        <f>$AO$26+(13*$AO$32)+(0*$AO$31)+(2*$AO$30)</f>
        <v>0.10379000000000001</v>
      </c>
      <c r="BF65" s="54">
        <v>0.77500000000000002</v>
      </c>
      <c r="BG65" s="55">
        <v>0.72499999999999998</v>
      </c>
      <c r="BH65" s="56">
        <v>0.82499999999999996</v>
      </c>
      <c r="BI65" s="54">
        <v>0.77500000000000002</v>
      </c>
      <c r="BJ65" s="55">
        <v>0.72499999999999998</v>
      </c>
      <c r="BK65" s="56">
        <v>0.82499999999999996</v>
      </c>
      <c r="BL65" s="54">
        <v>0.77500000000000002</v>
      </c>
      <c r="BM65" s="55">
        <v>0.72499999999999998</v>
      </c>
      <c r="BN65" s="56">
        <v>0.79999999999999993</v>
      </c>
      <c r="BO65" s="54">
        <v>0.72499999999999998</v>
      </c>
      <c r="BP65" s="55">
        <v>0.72499999999999998</v>
      </c>
      <c r="BQ65" s="56">
        <v>0.79999999999999993</v>
      </c>
      <c r="BR65" s="54">
        <v>0.72499999999999998</v>
      </c>
      <c r="BS65" s="55">
        <v>0.72499999999999998</v>
      </c>
      <c r="BT65" s="56">
        <v>0.79999999999999993</v>
      </c>
      <c r="BU65" s="54">
        <v>0.67499999999999993</v>
      </c>
      <c r="BV65" s="55">
        <v>0.67499999999999993</v>
      </c>
      <c r="BW65" s="56">
        <v>0.72499999999999987</v>
      </c>
    </row>
    <row r="67" spans="3:75">
      <c r="C67" s="34" t="s">
        <v>64</v>
      </c>
      <c r="D67" s="90" t="s">
        <v>65</v>
      </c>
      <c r="E67" s="91"/>
      <c r="F67" s="34" t="s">
        <v>45</v>
      </c>
      <c r="G67" s="34" t="s">
        <v>66</v>
      </c>
      <c r="H67" s="92" t="s">
        <v>21</v>
      </c>
      <c r="I67" s="93" t="s">
        <v>67</v>
      </c>
      <c r="J67" s="94" t="s">
        <v>27</v>
      </c>
      <c r="K67" s="94" t="s">
        <v>28</v>
      </c>
      <c r="L67" s="93" t="s">
        <v>67</v>
      </c>
    </row>
    <row r="68" spans="3:75">
      <c r="C68" s="34">
        <v>1</v>
      </c>
      <c r="D68" s="95">
        <v>3500000</v>
      </c>
      <c r="E68" s="95">
        <v>4999999</v>
      </c>
      <c r="F68" s="34">
        <f t="shared" ref="F68:F74" si="10">+_xlfn.MINIFS($E$10:$E$65,$K$10:$K$65,"&gt;="&amp;$E68,$J$10:$J$65,"&lt;="&amp;$D68)</f>
        <v>1</v>
      </c>
      <c r="G68" s="34">
        <f t="shared" ref="G68:G74" si="11">+_xlfn.MINIFS($G$10:$G$65,$K$10:$K$65,"&gt;="&amp;$E68,$J$10:$J$65,"&lt;="&amp;$D68)</f>
        <v>680</v>
      </c>
      <c r="H68" s="96" t="s">
        <v>44</v>
      </c>
      <c r="I68" s="96">
        <f>+L68</f>
        <v>4</v>
      </c>
      <c r="J68" s="97">
        <v>3500000</v>
      </c>
      <c r="K68" s="97">
        <v>4999999</v>
      </c>
      <c r="L68" s="96">
        <v>4</v>
      </c>
    </row>
    <row r="69" spans="3:75">
      <c r="C69" s="34">
        <f>+C68+1</f>
        <v>2</v>
      </c>
      <c r="D69" s="95">
        <v>2000000</v>
      </c>
      <c r="E69" s="95">
        <v>3499999</v>
      </c>
      <c r="F69" s="34">
        <f t="shared" si="10"/>
        <v>1</v>
      </c>
      <c r="G69" s="34">
        <f t="shared" si="11"/>
        <v>680</v>
      </c>
      <c r="H69" s="96" t="s">
        <v>44</v>
      </c>
      <c r="I69" s="96">
        <f t="shared" ref="I69:I83" si="12">+L69</f>
        <v>3</v>
      </c>
      <c r="J69" s="97">
        <v>2000000</v>
      </c>
      <c r="K69" s="97">
        <v>3499999</v>
      </c>
      <c r="L69" s="96">
        <v>3</v>
      </c>
    </row>
    <row r="70" spans="3:75">
      <c r="C70" s="34">
        <f t="shared" ref="C70:C74" si="13">+C69+1</f>
        <v>3</v>
      </c>
      <c r="D70" s="95">
        <v>1000000</v>
      </c>
      <c r="E70" s="95">
        <v>1999999</v>
      </c>
      <c r="F70" s="34">
        <f t="shared" si="10"/>
        <v>1</v>
      </c>
      <c r="G70" s="34">
        <f t="shared" si="11"/>
        <v>680</v>
      </c>
      <c r="H70" s="96" t="s">
        <v>44</v>
      </c>
      <c r="I70" s="96">
        <f t="shared" si="12"/>
        <v>2</v>
      </c>
      <c r="J70" s="97">
        <v>1000000</v>
      </c>
      <c r="K70" s="97">
        <v>1999999</v>
      </c>
      <c r="L70" s="96">
        <v>2</v>
      </c>
      <c r="M70" s="67"/>
    </row>
    <row r="71" spans="3:75">
      <c r="C71" s="34">
        <f t="shared" si="13"/>
        <v>4</v>
      </c>
      <c r="D71" s="95">
        <v>150000</v>
      </c>
      <c r="E71" s="95">
        <v>999999</v>
      </c>
      <c r="F71" s="34">
        <f t="shared" si="10"/>
        <v>1</v>
      </c>
      <c r="G71" s="34">
        <f t="shared" si="11"/>
        <v>680</v>
      </c>
      <c r="H71" s="96" t="s">
        <v>44</v>
      </c>
      <c r="I71" s="96">
        <f t="shared" si="12"/>
        <v>1</v>
      </c>
      <c r="J71" s="97">
        <v>150000</v>
      </c>
      <c r="K71" s="97">
        <v>999999</v>
      </c>
      <c r="L71" s="96">
        <v>1</v>
      </c>
    </row>
    <row r="72" spans="3:75">
      <c r="C72" s="34">
        <f t="shared" si="13"/>
        <v>5</v>
      </c>
      <c r="D72" s="95"/>
      <c r="E72" s="95"/>
      <c r="F72" s="34">
        <f t="shared" si="10"/>
        <v>0</v>
      </c>
      <c r="G72" s="34">
        <f t="shared" si="11"/>
        <v>0</v>
      </c>
      <c r="H72" s="38" t="s">
        <v>47</v>
      </c>
      <c r="I72" s="38">
        <f t="shared" si="12"/>
        <v>4</v>
      </c>
      <c r="J72" s="98">
        <v>3500000</v>
      </c>
      <c r="K72" s="98">
        <v>4999999</v>
      </c>
      <c r="L72" s="38">
        <v>4</v>
      </c>
    </row>
    <row r="73" spans="3:75">
      <c r="C73" s="34">
        <f t="shared" si="13"/>
        <v>6</v>
      </c>
      <c r="D73" s="95"/>
      <c r="E73" s="95"/>
      <c r="F73" s="34">
        <f t="shared" si="10"/>
        <v>0</v>
      </c>
      <c r="G73" s="34">
        <f t="shared" si="11"/>
        <v>0</v>
      </c>
      <c r="H73" s="38" t="s">
        <v>47</v>
      </c>
      <c r="I73" s="38">
        <f t="shared" si="12"/>
        <v>3</v>
      </c>
      <c r="J73" s="98">
        <v>2000000</v>
      </c>
      <c r="K73" s="98">
        <v>3499999</v>
      </c>
      <c r="L73" s="38">
        <v>3</v>
      </c>
    </row>
    <row r="74" spans="3:75">
      <c r="C74" s="34">
        <f t="shared" si="13"/>
        <v>7</v>
      </c>
      <c r="D74" s="95"/>
      <c r="E74" s="95"/>
      <c r="F74" s="34">
        <f t="shared" si="10"/>
        <v>0</v>
      </c>
      <c r="G74" s="34">
        <f t="shared" si="11"/>
        <v>0</v>
      </c>
      <c r="H74" s="38" t="s">
        <v>47</v>
      </c>
      <c r="I74" s="38">
        <f t="shared" si="12"/>
        <v>2</v>
      </c>
      <c r="J74" s="98">
        <v>1000000</v>
      </c>
      <c r="K74" s="98">
        <v>1999999</v>
      </c>
      <c r="L74" s="38">
        <v>2</v>
      </c>
    </row>
    <row r="75" spans="3:75" ht="16.5" thickBot="1">
      <c r="H75" s="38" t="s">
        <v>47</v>
      </c>
      <c r="I75" s="38">
        <f t="shared" si="12"/>
        <v>1</v>
      </c>
      <c r="J75" s="98">
        <v>150000</v>
      </c>
      <c r="K75" s="98">
        <v>999999</v>
      </c>
      <c r="L75" s="38">
        <v>1</v>
      </c>
    </row>
    <row r="76" spans="3:75" ht="16.5" thickBot="1">
      <c r="C76" s="99" t="s">
        <v>68</v>
      </c>
      <c r="D76" s="100"/>
      <c r="E76" s="100"/>
      <c r="F76" s="100"/>
      <c r="G76" s="101"/>
      <c r="H76" s="102" t="s">
        <v>48</v>
      </c>
      <c r="I76" s="102">
        <f t="shared" si="12"/>
        <v>4</v>
      </c>
      <c r="J76" s="103">
        <v>3500000</v>
      </c>
      <c r="K76" s="103">
        <v>4999999</v>
      </c>
      <c r="L76" s="102">
        <v>4</v>
      </c>
    </row>
    <row r="77" spans="3:75" ht="15" customHeight="1">
      <c r="C77" s="104" t="s">
        <v>69</v>
      </c>
      <c r="G77" s="105">
        <v>1500</v>
      </c>
      <c r="H77" s="102" t="s">
        <v>48</v>
      </c>
      <c r="I77" s="102">
        <f t="shared" si="12"/>
        <v>3</v>
      </c>
      <c r="J77" s="103">
        <v>2000000</v>
      </c>
      <c r="K77" s="103">
        <v>3499999</v>
      </c>
      <c r="L77" s="102">
        <v>3</v>
      </c>
    </row>
    <row r="78" spans="3:75" ht="15" customHeight="1" thickBot="1">
      <c r="C78" s="106" t="s">
        <v>70</v>
      </c>
      <c r="D78" s="107"/>
      <c r="E78" s="107"/>
      <c r="F78" s="107"/>
      <c r="G78" s="108">
        <v>1500</v>
      </c>
      <c r="H78" s="102" t="s">
        <v>48</v>
      </c>
      <c r="I78" s="102">
        <f t="shared" si="12"/>
        <v>2</v>
      </c>
      <c r="J78" s="103">
        <v>1000000</v>
      </c>
      <c r="K78" s="103">
        <v>1999999</v>
      </c>
      <c r="L78" s="102">
        <v>2</v>
      </c>
    </row>
    <row r="79" spans="3:75" ht="15" customHeight="1">
      <c r="H79" s="102" t="s">
        <v>48</v>
      </c>
      <c r="I79" s="102">
        <f t="shared" si="12"/>
        <v>1</v>
      </c>
      <c r="J79" s="103">
        <v>150000</v>
      </c>
      <c r="K79" s="103">
        <v>999999</v>
      </c>
      <c r="L79" s="102">
        <v>1</v>
      </c>
    </row>
    <row r="80" spans="3:75" ht="15" customHeight="1">
      <c r="H80" s="58" t="s">
        <v>49</v>
      </c>
      <c r="I80" s="58">
        <f t="shared" si="12"/>
        <v>4</v>
      </c>
      <c r="J80" s="109">
        <v>3500000</v>
      </c>
      <c r="K80" s="109">
        <v>4999999</v>
      </c>
      <c r="L80" s="58">
        <v>4</v>
      </c>
    </row>
    <row r="81" spans="8:12" ht="15" customHeight="1">
      <c r="H81" s="58" t="s">
        <v>49</v>
      </c>
      <c r="I81" s="58">
        <f t="shared" si="12"/>
        <v>3</v>
      </c>
      <c r="J81" s="109">
        <v>2000000</v>
      </c>
      <c r="K81" s="109">
        <v>3499999</v>
      </c>
      <c r="L81" s="58">
        <v>3</v>
      </c>
    </row>
    <row r="82" spans="8:12" ht="15" customHeight="1">
      <c r="H82" s="58" t="s">
        <v>49</v>
      </c>
      <c r="I82" s="58">
        <f t="shared" si="12"/>
        <v>2</v>
      </c>
      <c r="J82" s="109">
        <v>1000000</v>
      </c>
      <c r="K82" s="109">
        <v>1999999</v>
      </c>
      <c r="L82" s="58">
        <v>2</v>
      </c>
    </row>
    <row r="83" spans="8:12" ht="15" customHeight="1">
      <c r="H83" s="58" t="s">
        <v>49</v>
      </c>
      <c r="I83" s="58">
        <f t="shared" si="12"/>
        <v>1</v>
      </c>
      <c r="J83" s="109">
        <v>150000</v>
      </c>
      <c r="K83" s="109">
        <v>999999</v>
      </c>
      <c r="L83" s="58">
        <v>1</v>
      </c>
    </row>
    <row r="84" spans="8:12" ht="15" customHeight="1"/>
    <row r="85" spans="8:12" ht="15" customHeight="1"/>
    <row r="86" spans="8:12" ht="15" customHeight="1"/>
    <row r="87" spans="8:12" ht="15" customHeight="1"/>
    <row r="88" spans="8:12" ht="15" customHeight="1"/>
    <row r="89" spans="8:12" ht="15" customHeight="1"/>
    <row r="90" spans="8:12" ht="15" customHeight="1"/>
    <row r="91" spans="8:12" ht="15" customHeight="1"/>
    <row r="92" spans="8:12" ht="15" customHeight="1"/>
    <row r="93" spans="8:12" ht="15" customHeight="1"/>
    <row r="94" spans="8:12" ht="15" customHeight="1"/>
    <row r="95" spans="8:12" ht="15" customHeight="1"/>
    <row r="96" spans="8:12" ht="15" customHeight="1"/>
    <row r="97" s="2" customFormat="1" ht="15" customHeight="1"/>
    <row r="98" s="2" customFormat="1" ht="15" customHeight="1"/>
    <row r="99" s="2" customFormat="1" ht="15" customHeight="1"/>
    <row r="100" s="2" customFormat="1" ht="15" customHeight="1"/>
    <row r="101" s="2" customFormat="1" ht="15" customHeight="1"/>
    <row r="102" s="2" customFormat="1" ht="15" customHeight="1"/>
    <row r="103" s="2" customFormat="1" ht="15" customHeight="1"/>
    <row r="104" s="2" customFormat="1" ht="15" customHeight="1"/>
    <row r="105" s="2" customFormat="1" ht="15" customHeight="1"/>
    <row r="106" s="2" customFormat="1" ht="15" customHeight="1"/>
    <row r="107" s="2" customFormat="1" ht="15" customHeight="1"/>
    <row r="108" s="2" customFormat="1" ht="15" customHeight="1"/>
    <row r="109" s="2" customFormat="1" ht="15" customHeight="1"/>
    <row r="110" s="2" customFormat="1" ht="15" customHeight="1"/>
    <row r="111" s="2" customFormat="1" ht="15" customHeight="1"/>
    <row r="112" s="2" customFormat="1" ht="15" customHeight="1"/>
    <row r="113" s="2" customFormat="1" ht="15" customHeight="1"/>
    <row r="114" s="2" customFormat="1" ht="15" customHeight="1"/>
    <row r="115" s="2" customFormat="1" ht="15" customHeight="1"/>
    <row r="116" s="2" customFormat="1" ht="15" customHeight="1"/>
    <row r="117" s="2" customFormat="1" ht="15" customHeight="1"/>
    <row r="118" s="2" customFormat="1" ht="15" customHeight="1"/>
  </sheetData>
  <mergeCells count="18">
    <mergeCell ref="AA6:AC6"/>
    <mergeCell ref="L6:N6"/>
    <mergeCell ref="O6:Q6"/>
    <mergeCell ref="R6:T6"/>
    <mergeCell ref="U6:W6"/>
    <mergeCell ref="X6:Z6"/>
    <mergeCell ref="BU7:BW7"/>
    <mergeCell ref="L7:N7"/>
    <mergeCell ref="O7:Q7"/>
    <mergeCell ref="R7:T7"/>
    <mergeCell ref="U7:W7"/>
    <mergeCell ref="X7:Z7"/>
    <mergeCell ref="AA7:AC7"/>
    <mergeCell ref="BF7:BH7"/>
    <mergeCell ref="BI7:BK7"/>
    <mergeCell ref="BL7:BN7"/>
    <mergeCell ref="BO7:BQ7"/>
    <mergeCell ref="BR7:BT7"/>
  </mergeCells>
  <pageMargins left="0.7" right="0.7" top="0.75" bottom="0.75" header="0.3" footer="0.3"/>
  <pageSetup scale="1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BC31-9E1F-41EF-96F0-F3F444FEE6F4}">
  <sheetPr codeName="Sheet9">
    <tabColor theme="1"/>
  </sheetPr>
  <dimension ref="A2:AI151"/>
  <sheetViews>
    <sheetView showGridLines="0" topLeftCell="U1" zoomScale="130" zoomScaleNormal="130" workbookViewId="0">
      <selection activeCell="AK17" sqref="AK17"/>
    </sheetView>
  </sheetViews>
  <sheetFormatPr defaultColWidth="8.85546875" defaultRowHeight="14.1"/>
  <cols>
    <col min="1" max="1" width="0" hidden="1" customWidth="1"/>
    <col min="2" max="2" width="29.85546875" style="123" hidden="1" customWidth="1"/>
    <col min="3" max="5" width="20.28515625" style="123" hidden="1" customWidth="1"/>
    <col min="6" max="6" width="29.5703125" style="123" hidden="1" customWidth="1"/>
    <col min="7" max="8" width="26.5703125" style="123" hidden="1" customWidth="1"/>
    <col min="9" max="9" width="33.140625" style="123" hidden="1" customWidth="1"/>
    <col min="10" max="10" width="12.140625" style="123" hidden="1" customWidth="1"/>
    <col min="11" max="11" width="10.7109375" style="123" hidden="1" customWidth="1"/>
    <col min="12" max="12" width="18.140625" style="123" hidden="1" customWidth="1"/>
    <col min="13" max="13" width="18.28515625" style="123" hidden="1" customWidth="1"/>
    <col min="14" max="14" width="18.85546875" style="123" hidden="1" customWidth="1"/>
    <col min="15" max="15" width="24.5703125" style="123" hidden="1" customWidth="1"/>
    <col min="16" max="16" width="32.5703125" style="123" hidden="1" customWidth="1"/>
    <col min="17" max="17" width="24.140625" style="123" hidden="1" customWidth="1"/>
    <col min="18" max="20" width="0" style="123" hidden="1" customWidth="1"/>
    <col min="21" max="28" width="8.85546875" style="123"/>
    <col min="29" max="29" width="13.5703125" style="123" customWidth="1"/>
    <col min="30" max="30" width="10.5703125" style="123" customWidth="1"/>
    <col min="31" max="34" width="8.85546875" style="123"/>
    <col min="35" max="35" width="9.5703125" style="123" bestFit="1" customWidth="1"/>
    <col min="36" max="16384" width="8.85546875" style="123"/>
  </cols>
  <sheetData>
    <row r="2" spans="2:35" ht="42.6" thickBot="1">
      <c r="K2" s="124" t="s">
        <v>71</v>
      </c>
      <c r="L2" s="124"/>
      <c r="P2" s="125" t="s">
        <v>20</v>
      </c>
      <c r="Q2" s="125" t="s">
        <v>21</v>
      </c>
      <c r="R2" s="125" t="s">
        <v>22</v>
      </c>
      <c r="S2" s="126" t="s">
        <v>23</v>
      </c>
      <c r="T2" s="125" t="s">
        <v>24</v>
      </c>
      <c r="AB2" s="127" t="s">
        <v>72</v>
      </c>
      <c r="AD2" s="128" t="s">
        <v>73</v>
      </c>
    </row>
    <row r="3" spans="2:35" ht="14.45" thickBot="1">
      <c r="B3" s="129" t="s">
        <v>74</v>
      </c>
      <c r="C3" s="130"/>
      <c r="F3" s="129" t="s">
        <v>75</v>
      </c>
      <c r="G3" s="130"/>
      <c r="H3" s="130"/>
      <c r="K3" s="131">
        <v>0</v>
      </c>
      <c r="L3" s="132" t="s">
        <v>76</v>
      </c>
      <c r="P3" s="125"/>
      <c r="Q3" s="125"/>
      <c r="R3" s="125"/>
      <c r="S3" s="125"/>
      <c r="T3" s="125"/>
      <c r="AB3" s="133" t="s">
        <v>77</v>
      </c>
      <c r="AC3" s="134" t="s">
        <v>78</v>
      </c>
      <c r="AD3" s="134" t="s">
        <v>79</v>
      </c>
      <c r="AE3" s="135" t="s">
        <v>34</v>
      </c>
      <c r="AF3" s="136" t="s">
        <v>18</v>
      </c>
      <c r="AG3" s="137" t="s">
        <v>19</v>
      </c>
      <c r="AI3" s="138" t="s">
        <v>80</v>
      </c>
    </row>
    <row r="4" spans="2:35">
      <c r="B4" s="139" t="s">
        <v>59</v>
      </c>
      <c r="C4" s="140" t="s">
        <v>43</v>
      </c>
      <c r="F4" s="141" t="s">
        <v>81</v>
      </c>
      <c r="G4" s="142" t="s">
        <v>82</v>
      </c>
      <c r="H4" s="131" t="s">
        <v>83</v>
      </c>
      <c r="K4" s="131">
        <v>1</v>
      </c>
      <c r="L4" s="132" t="s">
        <v>76</v>
      </c>
      <c r="P4" s="143" t="s">
        <v>43</v>
      </c>
      <c r="Q4" s="143" t="s">
        <v>84</v>
      </c>
      <c r="R4" s="144">
        <v>10</v>
      </c>
      <c r="S4" s="131" t="str">
        <f>P4&amp;Q4&amp;R4</f>
        <v>FNFA+10</v>
      </c>
      <c r="T4" s="143">
        <v>700</v>
      </c>
      <c r="AB4" s="145" t="s">
        <v>85</v>
      </c>
      <c r="AD4" s="123" t="s">
        <v>19</v>
      </c>
      <c r="AE4" s="146" t="str">
        <f>IF(States_lend[[#This Row],[Tier rank ]]="Tier 1", States_lend[[#This Row],[States]],"")</f>
        <v/>
      </c>
      <c r="AF4" s="146" t="str">
        <f>IF(States_lend[[#This Row],[Tier rank ]]="Tier 2", States_lend[[#This Row],[States]],"")</f>
        <v/>
      </c>
      <c r="AG4" s="146" t="str">
        <f>IF(States_lend[[#This Row],[Tier rank ]]="Tier 3", States_lend[[#This Row],[States]],"")</f>
        <v>AL</v>
      </c>
      <c r="AI4" s="147" t="s">
        <v>34</v>
      </c>
    </row>
    <row r="5" spans="2:35">
      <c r="B5" s="139"/>
      <c r="C5" s="140" t="s">
        <v>43</v>
      </c>
      <c r="F5" s="141" t="s">
        <v>4</v>
      </c>
      <c r="G5" s="142" t="s">
        <v>82</v>
      </c>
      <c r="H5" s="131" t="s">
        <v>83</v>
      </c>
      <c r="K5" s="131">
        <v>2</v>
      </c>
      <c r="L5" s="132" t="s">
        <v>76</v>
      </c>
      <c r="P5" s="148" t="s">
        <v>43</v>
      </c>
      <c r="Q5" s="148" t="s">
        <v>44</v>
      </c>
      <c r="R5" s="149">
        <v>10</v>
      </c>
      <c r="S5" s="150" t="str">
        <f t="shared" ref="S5:S15" si="0">P5&amp;Q5&amp;R5</f>
        <v>FNFA10</v>
      </c>
      <c r="T5" s="148">
        <v>720</v>
      </c>
      <c r="AB5" s="145" t="s">
        <v>86</v>
      </c>
      <c r="AD5" s="123" t="s">
        <v>19</v>
      </c>
      <c r="AE5" s="146" t="str">
        <f>IF(States_lend[[#This Row],[Tier rank ]]="Tier 1", States_lend[[#This Row],[States]],"")</f>
        <v/>
      </c>
      <c r="AF5" s="146" t="str">
        <f>IF(States_lend[[#This Row],[Tier rank ]]="Tier 2", States_lend[[#This Row],[States]],"")</f>
        <v/>
      </c>
      <c r="AG5" s="146" t="str">
        <f>IF(States_lend[[#This Row],[Tier rank ]]="Tier 3", States_lend[[#This Row],[States]],"")</f>
        <v>AK</v>
      </c>
      <c r="AI5" s="146" t="s">
        <v>18</v>
      </c>
    </row>
    <row r="6" spans="2:35">
      <c r="B6" s="139"/>
      <c r="C6" s="140"/>
      <c r="F6" s="141" t="s">
        <v>5</v>
      </c>
      <c r="G6" s="142" t="s">
        <v>87</v>
      </c>
      <c r="H6" s="131" t="s">
        <v>88</v>
      </c>
      <c r="K6" s="131">
        <v>3</v>
      </c>
      <c r="L6" s="151" t="s">
        <v>89</v>
      </c>
      <c r="P6" s="148" t="s">
        <v>43</v>
      </c>
      <c r="Q6" s="148" t="s">
        <v>44</v>
      </c>
      <c r="R6" s="148">
        <v>10</v>
      </c>
      <c r="S6" s="150" t="str">
        <f t="shared" si="0"/>
        <v>FNFA10</v>
      </c>
      <c r="T6" s="148">
        <v>680</v>
      </c>
      <c r="AB6" s="145" t="s">
        <v>90</v>
      </c>
      <c r="AD6" s="123" t="s">
        <v>19</v>
      </c>
      <c r="AE6" s="146" t="str">
        <f>IF(States_lend[[#This Row],[Tier rank ]]="Tier 1", States_lend[[#This Row],[States]],"")</f>
        <v/>
      </c>
      <c r="AF6" s="146" t="str">
        <f>IF(States_lend[[#This Row],[Tier rank ]]="Tier 2", States_lend[[#This Row],[States]],"")</f>
        <v/>
      </c>
      <c r="AG6" s="146" t="str">
        <f>IF(States_lend[[#This Row],[Tier rank ]]="Tier 3", States_lend[[#This Row],[States]],"")</f>
        <v>AZ</v>
      </c>
      <c r="AI6" s="146" t="s">
        <v>19</v>
      </c>
    </row>
    <row r="7" spans="2:35">
      <c r="B7" s="139"/>
      <c r="C7" s="140"/>
      <c r="F7" s="141" t="s">
        <v>91</v>
      </c>
      <c r="G7" s="142" t="s">
        <v>82</v>
      </c>
      <c r="H7" s="131" t="s">
        <v>83</v>
      </c>
      <c r="K7" s="131">
        <v>4</v>
      </c>
      <c r="L7" s="151" t="s">
        <v>89</v>
      </c>
      <c r="P7" s="152" t="s">
        <v>43</v>
      </c>
      <c r="Q7" s="152" t="s">
        <v>47</v>
      </c>
      <c r="R7" s="152">
        <v>5</v>
      </c>
      <c r="S7" s="153" t="str">
        <f t="shared" si="0"/>
        <v>FNFB5</v>
      </c>
      <c r="T7" s="152">
        <v>720</v>
      </c>
      <c r="AB7" s="145" t="s">
        <v>92</v>
      </c>
      <c r="AD7" s="123" t="s">
        <v>19</v>
      </c>
      <c r="AE7" s="146" t="str">
        <f>IF(States_lend[[#This Row],[Tier rank ]]="Tier 1", States_lend[[#This Row],[States]],"")</f>
        <v/>
      </c>
      <c r="AF7" s="146" t="str">
        <f>IF(States_lend[[#This Row],[Tier rank ]]="Tier 2", States_lend[[#This Row],[States]],"")</f>
        <v/>
      </c>
      <c r="AG7" s="146" t="str">
        <f>IF(States_lend[[#This Row],[Tier rank ]]="Tier 3", States_lend[[#This Row],[States]],"")</f>
        <v>AR</v>
      </c>
      <c r="AI7" s="146"/>
    </row>
    <row r="8" spans="2:35">
      <c r="B8" s="139"/>
      <c r="C8" s="140"/>
      <c r="F8" s="141" t="s">
        <v>93</v>
      </c>
      <c r="G8" s="142" t="s">
        <v>87</v>
      </c>
      <c r="H8" s="131" t="s">
        <v>88</v>
      </c>
      <c r="K8" s="131">
        <v>5</v>
      </c>
      <c r="L8" s="151" t="s">
        <v>89</v>
      </c>
      <c r="P8" s="152" t="s">
        <v>43</v>
      </c>
      <c r="Q8" s="152" t="s">
        <v>47</v>
      </c>
      <c r="R8" s="152">
        <v>5</v>
      </c>
      <c r="S8" s="153" t="str">
        <f t="shared" si="0"/>
        <v>FNFB5</v>
      </c>
      <c r="T8" s="152">
        <v>680</v>
      </c>
      <c r="AB8" s="145" t="s">
        <v>94</v>
      </c>
      <c r="AD8" s="123" t="s">
        <v>34</v>
      </c>
      <c r="AE8" s="146" t="str">
        <f>IF(States_lend[[#This Row],[Tier rank ]]="Tier 1", States_lend[[#This Row],[States]],"")</f>
        <v>CA</v>
      </c>
      <c r="AF8" s="146" t="str">
        <f>IF(States_lend[[#This Row],[Tier rank ]]="Tier 2", States_lend[[#This Row],[States]],"")</f>
        <v/>
      </c>
      <c r="AG8" s="146" t="str">
        <f>IF(States_lend[[#This Row],[Tier rank ]]="Tier 3", States_lend[[#This Row],[States]],"")</f>
        <v/>
      </c>
      <c r="AI8" s="146"/>
    </row>
    <row r="9" spans="2:35">
      <c r="B9" s="139"/>
      <c r="C9" s="140"/>
      <c r="F9" s="141" t="s">
        <v>95</v>
      </c>
      <c r="G9" s="142" t="s">
        <v>87</v>
      </c>
      <c r="H9" s="131" t="s">
        <v>96</v>
      </c>
      <c r="K9" s="131">
        <v>6</v>
      </c>
      <c r="L9" s="151" t="s">
        <v>97</v>
      </c>
      <c r="P9" s="154" t="s">
        <v>43</v>
      </c>
      <c r="Q9" s="154" t="s">
        <v>48</v>
      </c>
      <c r="R9" s="154">
        <v>3</v>
      </c>
      <c r="S9" s="155" t="str">
        <f t="shared" si="0"/>
        <v>FNFC3</v>
      </c>
      <c r="T9" s="154">
        <v>720</v>
      </c>
      <c r="AB9" s="145" t="s">
        <v>98</v>
      </c>
      <c r="AD9" s="123" t="s">
        <v>19</v>
      </c>
      <c r="AE9" s="146" t="str">
        <f>IF(States_lend[[#This Row],[Tier rank ]]="Tier 1", States_lend[[#This Row],[States]],"")</f>
        <v/>
      </c>
      <c r="AF9" s="146" t="str">
        <f>IF(States_lend[[#This Row],[Tier rank ]]="Tier 2", States_lend[[#This Row],[States]],"")</f>
        <v/>
      </c>
      <c r="AG9" s="146" t="str">
        <f>IF(States_lend[[#This Row],[Tier rank ]]="Tier 3", States_lend[[#This Row],[States]],"")</f>
        <v>CO</v>
      </c>
      <c r="AI9" s="146"/>
    </row>
    <row r="10" spans="2:35">
      <c r="B10" s="156"/>
      <c r="C10" s="157"/>
      <c r="F10" s="141"/>
      <c r="G10" s="142"/>
      <c r="H10" s="131"/>
      <c r="K10" s="131">
        <v>7</v>
      </c>
      <c r="L10" s="151" t="s">
        <v>97</v>
      </c>
      <c r="P10" s="154" t="s">
        <v>43</v>
      </c>
      <c r="Q10" s="154" t="s">
        <v>48</v>
      </c>
      <c r="R10" s="154">
        <v>3</v>
      </c>
      <c r="S10" s="155" t="str">
        <f t="shared" si="0"/>
        <v>FNFC3</v>
      </c>
      <c r="T10" s="154">
        <v>700</v>
      </c>
      <c r="AB10" s="145" t="s">
        <v>99</v>
      </c>
      <c r="AD10" s="123" t="s">
        <v>19</v>
      </c>
      <c r="AE10" s="146" t="str">
        <f>IF(States_lend[[#This Row],[Tier rank ]]="Tier 1", States_lend[[#This Row],[States]],"")</f>
        <v/>
      </c>
      <c r="AF10" s="146" t="str">
        <f>IF(States_lend[[#This Row],[Tier rank ]]="Tier 2", States_lend[[#This Row],[States]],"")</f>
        <v/>
      </c>
      <c r="AG10" s="146" t="str">
        <f>IF(States_lend[[#This Row],[Tier rank ]]="Tier 3", States_lend[[#This Row],[States]],"")</f>
        <v>CT</v>
      </c>
      <c r="AI10" s="146"/>
    </row>
    <row r="11" spans="2:35" ht="14.45" thickBot="1">
      <c r="K11" s="131">
        <v>8</v>
      </c>
      <c r="L11" s="151" t="s">
        <v>97</v>
      </c>
      <c r="P11" s="158" t="s">
        <v>43</v>
      </c>
      <c r="Q11" s="158" t="s">
        <v>49</v>
      </c>
      <c r="R11" s="158">
        <v>2</v>
      </c>
      <c r="S11" s="159" t="str">
        <f t="shared" si="0"/>
        <v>FNFD2</v>
      </c>
      <c r="T11" s="158">
        <v>720</v>
      </c>
      <c r="AB11" s="145" t="s">
        <v>100</v>
      </c>
      <c r="AD11" s="123" t="s">
        <v>19</v>
      </c>
      <c r="AE11" s="146" t="str">
        <f>IF(States_lend[[#This Row],[Tier rank ]]="Tier 1", States_lend[[#This Row],[States]],"")</f>
        <v/>
      </c>
      <c r="AF11" s="146" t="str">
        <f>IF(States_lend[[#This Row],[Tier rank ]]="Tier 2", States_lend[[#This Row],[States]],"")</f>
        <v/>
      </c>
      <c r="AG11" s="146" t="str">
        <f>IF(States_lend[[#This Row],[Tier rank ]]="Tier 3", States_lend[[#This Row],[States]],"")</f>
        <v>DE</v>
      </c>
      <c r="AI11" s="160"/>
    </row>
    <row r="12" spans="2:35">
      <c r="B12" s="148" t="s">
        <v>101</v>
      </c>
      <c r="F12"/>
      <c r="H12"/>
      <c r="K12" s="131">
        <v>9</v>
      </c>
      <c r="L12" s="151" t="s">
        <v>102</v>
      </c>
      <c r="P12" s="158" t="s">
        <v>43</v>
      </c>
      <c r="Q12" s="158" t="s">
        <v>49</v>
      </c>
      <c r="R12" s="158">
        <v>2</v>
      </c>
      <c r="S12" s="159" t="str">
        <f t="shared" si="0"/>
        <v>FNFD2</v>
      </c>
      <c r="T12" s="158">
        <v>700</v>
      </c>
      <c r="AB12" s="145" t="s">
        <v>103</v>
      </c>
      <c r="AD12" s="123" t="s">
        <v>18</v>
      </c>
      <c r="AE12" s="146" t="str">
        <f>IF(States_lend[[#This Row],[Tier rank ]]="Tier 1", States_lend[[#This Row],[States]],"")</f>
        <v/>
      </c>
      <c r="AF12" s="146" t="str">
        <f>IF(States_lend[[#This Row],[Tier rank ]]="Tier 2", States_lend[[#This Row],[States]],"")</f>
        <v>FL</v>
      </c>
      <c r="AG12" s="146" t="str">
        <f>IF(States_lend[[#This Row],[Tier rank ]]="Tier 3", States_lend[[#This Row],[States]],"")</f>
        <v/>
      </c>
    </row>
    <row r="13" spans="2:35">
      <c r="B13" s="161" t="s">
        <v>104</v>
      </c>
      <c r="F13"/>
      <c r="H13"/>
      <c r="K13" s="131">
        <v>10</v>
      </c>
      <c r="L13" s="151" t="s">
        <v>102</v>
      </c>
      <c r="P13" s="162" t="s">
        <v>54</v>
      </c>
      <c r="Q13" s="162" t="s">
        <v>84</v>
      </c>
      <c r="R13" s="163">
        <v>10</v>
      </c>
      <c r="S13" s="164" t="str">
        <f t="shared" si="0"/>
        <v>GUPA+10</v>
      </c>
      <c r="T13" s="162">
        <v>700</v>
      </c>
      <c r="AB13" s="145" t="s">
        <v>105</v>
      </c>
      <c r="AD13" s="123" t="s">
        <v>18</v>
      </c>
      <c r="AE13" s="146" t="str">
        <f>IF(States_lend[[#This Row],[Tier rank ]]="Tier 1", States_lend[[#This Row],[States]],"")</f>
        <v/>
      </c>
      <c r="AF13" s="146" t="str">
        <f>IF(States_lend[[#This Row],[Tier rank ]]="Tier 2", States_lend[[#This Row],[States]],"")</f>
        <v>GA</v>
      </c>
      <c r="AG13" s="146" t="str">
        <f>IF(States_lend[[#This Row],[Tier rank ]]="Tier 3", States_lend[[#This Row],[States]],"")</f>
        <v/>
      </c>
    </row>
    <row r="14" spans="2:35">
      <c r="B14" s="145" t="s">
        <v>106</v>
      </c>
      <c r="F14"/>
      <c r="H14"/>
      <c r="K14" s="131">
        <v>11</v>
      </c>
      <c r="L14" s="151" t="s">
        <v>102</v>
      </c>
      <c r="P14" s="162" t="s">
        <v>54</v>
      </c>
      <c r="Q14" s="162" t="s">
        <v>44</v>
      </c>
      <c r="R14" s="162">
        <v>10</v>
      </c>
      <c r="S14" s="164" t="str">
        <f t="shared" si="0"/>
        <v>GUPA10</v>
      </c>
      <c r="T14" s="162">
        <v>700</v>
      </c>
      <c r="AB14" s="145" t="s">
        <v>107</v>
      </c>
      <c r="AD14" s="123" t="s">
        <v>19</v>
      </c>
      <c r="AE14" s="146" t="str">
        <f>IF(States_lend[[#This Row],[Tier rank ]]="Tier 1", States_lend[[#This Row],[States]],"")</f>
        <v/>
      </c>
      <c r="AF14" s="146" t="str">
        <f>IF(States_lend[[#This Row],[Tier rank ]]="Tier 2", States_lend[[#This Row],[States]],"")</f>
        <v/>
      </c>
      <c r="AG14" s="146" t="str">
        <f>IF(States_lend[[#This Row],[Tier rank ]]="Tier 3", States_lend[[#This Row],[States]],"")</f>
        <v>HI</v>
      </c>
    </row>
    <row r="15" spans="2:35">
      <c r="B15" s="145" t="s">
        <v>108</v>
      </c>
      <c r="F15"/>
      <c r="H15"/>
      <c r="K15" s="131">
        <v>12</v>
      </c>
      <c r="L15" s="151" t="s">
        <v>109</v>
      </c>
      <c r="P15" s="165" t="s">
        <v>54</v>
      </c>
      <c r="Q15" s="165" t="s">
        <v>47</v>
      </c>
      <c r="R15" s="165">
        <v>5</v>
      </c>
      <c r="S15" s="166" t="str">
        <f t="shared" si="0"/>
        <v>GUPB5</v>
      </c>
      <c r="T15" s="165">
        <v>700</v>
      </c>
      <c r="AB15" s="145" t="s">
        <v>110</v>
      </c>
      <c r="AD15" s="123" t="s">
        <v>19</v>
      </c>
      <c r="AE15" s="146" t="str">
        <f>IF(States_lend[[#This Row],[Tier rank ]]="Tier 1", States_lend[[#This Row],[States]],"")</f>
        <v/>
      </c>
      <c r="AF15" s="146" t="str">
        <f>IF(States_lend[[#This Row],[Tier rank ]]="Tier 2", States_lend[[#This Row],[States]],"")</f>
        <v/>
      </c>
      <c r="AG15" s="146" t="str">
        <f>IF(States_lend[[#This Row],[Tier rank ]]="Tier 3", States_lend[[#This Row],[States]],"")</f>
        <v>ID</v>
      </c>
    </row>
    <row r="16" spans="2:35">
      <c r="B16" s="145" t="s">
        <v>111</v>
      </c>
      <c r="F16"/>
      <c r="H16"/>
      <c r="K16" s="131">
        <v>13</v>
      </c>
      <c r="L16" s="151" t="s">
        <v>109</v>
      </c>
      <c r="AB16" s="145" t="s">
        <v>112</v>
      </c>
      <c r="AD16" s="123" t="s">
        <v>19</v>
      </c>
      <c r="AE16" s="146" t="str">
        <f>IF(States_lend[[#This Row],[Tier rank ]]="Tier 1", States_lend[[#This Row],[States]],"")</f>
        <v/>
      </c>
      <c r="AF16" s="146" t="str">
        <f>IF(States_lend[[#This Row],[Tier rank ]]="Tier 2", States_lend[[#This Row],[States]],"")</f>
        <v/>
      </c>
      <c r="AG16" s="146" t="str">
        <f>IF(States_lend[[#This Row],[Tier rank ]]="Tier 3", States_lend[[#This Row],[States]],"")</f>
        <v>IL</v>
      </c>
    </row>
    <row r="17" spans="2:33">
      <c r="B17" s="145"/>
      <c r="F17"/>
      <c r="H17"/>
      <c r="K17" s="131">
        <v>14</v>
      </c>
      <c r="L17" s="151" t="s">
        <v>109</v>
      </c>
      <c r="AB17" s="145" t="s">
        <v>113</v>
      </c>
      <c r="AD17" s="123" t="s">
        <v>19</v>
      </c>
      <c r="AE17" s="146" t="str">
        <f>IF(States_lend[[#This Row],[Tier rank ]]="Tier 1", States_lend[[#This Row],[States]],"")</f>
        <v/>
      </c>
      <c r="AF17" s="146" t="str">
        <f>IF(States_lend[[#This Row],[Tier rank ]]="Tier 2", States_lend[[#This Row],[States]],"")</f>
        <v/>
      </c>
      <c r="AG17" s="146" t="str">
        <f>IF(States_lend[[#This Row],[Tier rank ]]="Tier 3", States_lend[[#This Row],[States]],"")</f>
        <v>IN</v>
      </c>
    </row>
    <row r="18" spans="2:33">
      <c r="B18" s="145"/>
      <c r="F18"/>
      <c r="H18"/>
      <c r="K18" s="131">
        <v>15</v>
      </c>
      <c r="L18" s="151" t="s">
        <v>109</v>
      </c>
      <c r="AB18" s="145" t="s">
        <v>114</v>
      </c>
      <c r="AD18" s="123" t="s">
        <v>19</v>
      </c>
      <c r="AE18" s="146" t="str">
        <f>IF(States_lend[[#This Row],[Tier rank ]]="Tier 1", States_lend[[#This Row],[States]],"")</f>
        <v/>
      </c>
      <c r="AF18" s="146" t="str">
        <f>IF(States_lend[[#This Row],[Tier rank ]]="Tier 2", States_lend[[#This Row],[States]],"")</f>
        <v/>
      </c>
      <c r="AG18" s="146" t="str">
        <f>IF(States_lend[[#This Row],[Tier rank ]]="Tier 3", States_lend[[#This Row],[States]],"")</f>
        <v>IA</v>
      </c>
    </row>
    <row r="19" spans="2:33">
      <c r="B19" s="167"/>
      <c r="F19"/>
      <c r="H19"/>
      <c r="K19" s="131">
        <v>16</v>
      </c>
      <c r="L19" s="151" t="s">
        <v>109</v>
      </c>
      <c r="AB19" s="145" t="s">
        <v>115</v>
      </c>
      <c r="AD19" s="123" t="s">
        <v>19</v>
      </c>
      <c r="AE19" s="146" t="str">
        <f>IF(States_lend[[#This Row],[Tier rank ]]="Tier 1", States_lend[[#This Row],[States]],"")</f>
        <v/>
      </c>
      <c r="AF19" s="146" t="str">
        <f>IF(States_lend[[#This Row],[Tier rank ]]="Tier 2", States_lend[[#This Row],[States]],"")</f>
        <v/>
      </c>
      <c r="AG19" s="146" t="str">
        <f>IF(States_lend[[#This Row],[Tier rank ]]="Tier 3", States_lend[[#This Row],[States]],"")</f>
        <v>KS</v>
      </c>
    </row>
    <row r="20" spans="2:33">
      <c r="K20" s="131">
        <v>17</v>
      </c>
      <c r="L20" s="151" t="s">
        <v>109</v>
      </c>
      <c r="AB20" s="145" t="s">
        <v>116</v>
      </c>
      <c r="AD20" s="123" t="s">
        <v>19</v>
      </c>
      <c r="AE20" s="146" t="str">
        <f>IF(States_lend[[#This Row],[Tier rank ]]="Tier 1", States_lend[[#This Row],[States]],"")</f>
        <v/>
      </c>
      <c r="AF20" s="146" t="str">
        <f>IF(States_lend[[#This Row],[Tier rank ]]="Tier 2", States_lend[[#This Row],[States]],"")</f>
        <v/>
      </c>
      <c r="AG20" s="146" t="str">
        <f>IF(States_lend[[#This Row],[Tier rank ]]="Tier 3", States_lend[[#This Row],[States]],"")</f>
        <v>KY</v>
      </c>
    </row>
    <row r="21" spans="2:33">
      <c r="F21" s="148" t="s">
        <v>117</v>
      </c>
      <c r="H21" s="168" t="s">
        <v>118</v>
      </c>
      <c r="I21" s="150" t="s">
        <v>119</v>
      </c>
      <c r="K21" s="131">
        <v>18</v>
      </c>
      <c r="L21" s="151" t="s">
        <v>109</v>
      </c>
      <c r="AB21" s="145" t="s">
        <v>120</v>
      </c>
      <c r="AD21" s="123" t="s">
        <v>19</v>
      </c>
      <c r="AE21" s="146" t="str">
        <f>IF(States_lend[[#This Row],[Tier rank ]]="Tier 1", States_lend[[#This Row],[States]],"")</f>
        <v/>
      </c>
      <c r="AF21" s="146" t="str">
        <f>IF(States_lend[[#This Row],[Tier rank ]]="Tier 2", States_lend[[#This Row],[States]],"")</f>
        <v/>
      </c>
      <c r="AG21" s="146" t="str">
        <f>IF(States_lend[[#This Row],[Tier rank ]]="Tier 3", States_lend[[#This Row],[States]],"")</f>
        <v>LA</v>
      </c>
    </row>
    <row r="22" spans="2:33">
      <c r="B22" s="148" t="s">
        <v>121</v>
      </c>
      <c r="F22" s="161" t="s">
        <v>122</v>
      </c>
      <c r="H22" s="161" t="s">
        <v>123</v>
      </c>
      <c r="I22" s="169" t="s">
        <v>124</v>
      </c>
      <c r="K22" s="131">
        <v>19</v>
      </c>
      <c r="L22" s="151" t="s">
        <v>109</v>
      </c>
      <c r="AB22" s="145" t="s">
        <v>125</v>
      </c>
      <c r="AD22" s="123" t="s">
        <v>19</v>
      </c>
      <c r="AE22" s="146" t="str">
        <f>IF(States_lend[[#This Row],[Tier rank ]]="Tier 1", States_lend[[#This Row],[States]],"")</f>
        <v/>
      </c>
      <c r="AF22" s="146" t="str">
        <f>IF(States_lend[[#This Row],[Tier rank ]]="Tier 2", States_lend[[#This Row],[States]],"")</f>
        <v/>
      </c>
      <c r="AG22" s="146" t="str">
        <f>IF(States_lend[[#This Row],[Tier rank ]]="Tier 3", States_lend[[#This Row],[States]],"")</f>
        <v>ME</v>
      </c>
    </row>
    <row r="23" spans="2:33">
      <c r="B23" s="161" t="s">
        <v>126</v>
      </c>
      <c r="F23" s="145" t="s">
        <v>127</v>
      </c>
      <c r="H23" s="145" t="s">
        <v>128</v>
      </c>
      <c r="I23" s="170" t="s">
        <v>129</v>
      </c>
      <c r="K23" s="131">
        <v>20</v>
      </c>
      <c r="L23" s="151" t="s">
        <v>109</v>
      </c>
      <c r="AB23" s="145" t="s">
        <v>130</v>
      </c>
      <c r="AD23" s="123" t="s">
        <v>19</v>
      </c>
      <c r="AE23" s="146" t="str">
        <f>IF(States_lend[[#This Row],[Tier rank ]]="Tier 1", States_lend[[#This Row],[States]],"")</f>
        <v/>
      </c>
      <c r="AF23" s="146" t="str">
        <f>IF(States_lend[[#This Row],[Tier rank ]]="Tier 2", States_lend[[#This Row],[States]],"")</f>
        <v/>
      </c>
      <c r="AG23" s="146" t="str">
        <f>IF(States_lend[[#This Row],[Tier rank ]]="Tier 3", States_lend[[#This Row],[States]],"")</f>
        <v>MD</v>
      </c>
    </row>
    <row r="24" spans="2:33">
      <c r="B24" s="145" t="s">
        <v>131</v>
      </c>
      <c r="F24" s="145"/>
      <c r="H24" s="145"/>
      <c r="I24" s="145"/>
      <c r="K24" s="131">
        <v>21</v>
      </c>
      <c r="L24" s="151" t="s">
        <v>109</v>
      </c>
      <c r="AB24" s="145" t="s">
        <v>132</v>
      </c>
      <c r="AD24" s="123" t="s">
        <v>19</v>
      </c>
      <c r="AE24" s="146" t="str">
        <f>IF(States_lend[[#This Row],[Tier rank ]]="Tier 1", States_lend[[#This Row],[States]],"")</f>
        <v/>
      </c>
      <c r="AF24" s="146" t="str">
        <f>IF(States_lend[[#This Row],[Tier rank ]]="Tier 2", States_lend[[#This Row],[States]],"")</f>
        <v/>
      </c>
      <c r="AG24" s="146" t="str">
        <f>IF(States_lend[[#This Row],[Tier rank ]]="Tier 3", States_lend[[#This Row],[States]],"")</f>
        <v>MA</v>
      </c>
    </row>
    <row r="25" spans="2:33">
      <c r="B25" s="145" t="s">
        <v>133</v>
      </c>
      <c r="F25" s="145"/>
      <c r="H25" s="145"/>
      <c r="I25" s="145"/>
      <c r="K25" s="131">
        <v>22</v>
      </c>
      <c r="L25" s="151" t="s">
        <v>109</v>
      </c>
      <c r="AB25" s="145" t="s">
        <v>134</v>
      </c>
      <c r="AD25" s="123" t="s">
        <v>19</v>
      </c>
      <c r="AE25" s="146" t="str">
        <f>IF(States_lend[[#This Row],[Tier rank ]]="Tier 1", States_lend[[#This Row],[States]],"")</f>
        <v/>
      </c>
      <c r="AF25" s="146" t="str">
        <f>IF(States_lend[[#This Row],[Tier rank ]]="Tier 2", States_lend[[#This Row],[States]],"")</f>
        <v/>
      </c>
      <c r="AG25" s="146" t="str">
        <f>IF(States_lend[[#This Row],[Tier rank ]]="Tier 3", States_lend[[#This Row],[States]],"")</f>
        <v>MI</v>
      </c>
    </row>
    <row r="26" spans="2:33">
      <c r="B26" s="145"/>
      <c r="F26" s="145"/>
      <c r="H26" s="145"/>
      <c r="I26" s="145"/>
      <c r="K26" s="131">
        <v>23</v>
      </c>
      <c r="L26" s="151" t="s">
        <v>109</v>
      </c>
      <c r="AB26" s="145" t="s">
        <v>135</v>
      </c>
      <c r="AD26" s="123" t="s">
        <v>19</v>
      </c>
      <c r="AE26" s="146" t="str">
        <f>IF(States_lend[[#This Row],[Tier rank ]]="Tier 1", States_lend[[#This Row],[States]],"")</f>
        <v/>
      </c>
      <c r="AF26" s="146" t="str">
        <f>IF(States_lend[[#This Row],[Tier rank ]]="Tier 2", States_lend[[#This Row],[States]],"")</f>
        <v/>
      </c>
      <c r="AG26" s="146" t="str">
        <f>IF(States_lend[[#This Row],[Tier rank ]]="Tier 3", States_lend[[#This Row],[States]],"")</f>
        <v>MN</v>
      </c>
    </row>
    <row r="27" spans="2:33">
      <c r="B27" s="145"/>
      <c r="F27" s="145"/>
      <c r="H27" s="145"/>
      <c r="I27" s="145"/>
      <c r="K27" s="131">
        <v>24</v>
      </c>
      <c r="L27" s="151" t="s">
        <v>109</v>
      </c>
      <c r="AB27" s="145" t="s">
        <v>136</v>
      </c>
      <c r="AD27" s="123" t="s">
        <v>19</v>
      </c>
      <c r="AE27" s="146" t="str">
        <f>IF(States_lend[[#This Row],[Tier rank ]]="Tier 1", States_lend[[#This Row],[States]],"")</f>
        <v/>
      </c>
      <c r="AF27" s="146" t="str">
        <f>IF(States_lend[[#This Row],[Tier rank ]]="Tier 2", States_lend[[#This Row],[States]],"")</f>
        <v/>
      </c>
      <c r="AG27" s="146" t="str">
        <f>IF(States_lend[[#This Row],[Tier rank ]]="Tier 3", States_lend[[#This Row],[States]],"")</f>
        <v>MS</v>
      </c>
    </row>
    <row r="28" spans="2:33">
      <c r="B28" s="145"/>
      <c r="F28" s="167"/>
      <c r="H28" s="167"/>
      <c r="I28" s="167"/>
      <c r="AB28" s="145" t="s">
        <v>137</v>
      </c>
      <c r="AD28" s="123" t="s">
        <v>19</v>
      </c>
      <c r="AE28" s="146" t="str">
        <f>IF(States_lend[[#This Row],[Tier rank ]]="Tier 1", States_lend[[#This Row],[States]],"")</f>
        <v/>
      </c>
      <c r="AF28" s="146" t="str">
        <f>IF(States_lend[[#This Row],[Tier rank ]]="Tier 2", States_lend[[#This Row],[States]],"")</f>
        <v/>
      </c>
      <c r="AG28" s="146" t="str">
        <f>IF(States_lend[[#This Row],[Tier rank ]]="Tier 3", States_lend[[#This Row],[States]],"")</f>
        <v>MO</v>
      </c>
    </row>
    <row r="29" spans="2:33">
      <c r="B29" s="167"/>
      <c r="AB29" s="145" t="s">
        <v>138</v>
      </c>
      <c r="AD29" s="123" t="s">
        <v>19</v>
      </c>
      <c r="AE29" s="146" t="str">
        <f>IF(States_lend[[#This Row],[Tier rank ]]="Tier 1", States_lend[[#This Row],[States]],"")</f>
        <v/>
      </c>
      <c r="AF29" s="146" t="str">
        <f>IF(States_lend[[#This Row],[Tier rank ]]="Tier 2", States_lend[[#This Row],[States]],"")</f>
        <v/>
      </c>
      <c r="AG29" s="146" t="str">
        <f>IF(States_lend[[#This Row],[Tier rank ]]="Tier 3", States_lend[[#This Row],[States]],"")</f>
        <v>MT</v>
      </c>
    </row>
    <row r="30" spans="2:33">
      <c r="AB30" s="145" t="s">
        <v>139</v>
      </c>
      <c r="AD30" s="123" t="s">
        <v>19</v>
      </c>
      <c r="AE30" s="146" t="str">
        <f>IF(States_lend[[#This Row],[Tier rank ]]="Tier 1", States_lend[[#This Row],[States]],"")</f>
        <v/>
      </c>
      <c r="AF30" s="146" t="str">
        <f>IF(States_lend[[#This Row],[Tier rank ]]="Tier 2", States_lend[[#This Row],[States]],"")</f>
        <v/>
      </c>
      <c r="AG30" s="146" t="str">
        <f>IF(States_lend[[#This Row],[Tier rank ]]="Tier 3", States_lend[[#This Row],[States]],"")</f>
        <v>NE</v>
      </c>
    </row>
    <row r="31" spans="2:33">
      <c r="F31" s="148" t="s">
        <v>140</v>
      </c>
      <c r="H31" s="127" t="s">
        <v>141</v>
      </c>
      <c r="AB31" s="145" t="s">
        <v>142</v>
      </c>
      <c r="AD31" s="123" t="s">
        <v>19</v>
      </c>
      <c r="AE31" s="146" t="str">
        <f>IF(States_lend[[#This Row],[Tier rank ]]="Tier 1", States_lend[[#This Row],[States]],"")</f>
        <v/>
      </c>
      <c r="AF31" s="146" t="str">
        <f>IF(States_lend[[#This Row],[Tier rank ]]="Tier 2", States_lend[[#This Row],[States]],"")</f>
        <v/>
      </c>
      <c r="AG31" s="146" t="str">
        <f>IF(States_lend[[#This Row],[Tier rank ]]="Tier 3", States_lend[[#This Row],[States]],"")</f>
        <v>NV</v>
      </c>
    </row>
    <row r="32" spans="2:33">
      <c r="B32" s="148" t="s">
        <v>77</v>
      </c>
      <c r="F32" s="161" t="s">
        <v>143</v>
      </c>
      <c r="H32" s="161" t="s">
        <v>144</v>
      </c>
      <c r="AB32" s="145" t="s">
        <v>145</v>
      </c>
      <c r="AD32" s="123" t="s">
        <v>19</v>
      </c>
      <c r="AE32" s="146" t="str">
        <f>IF(States_lend[[#This Row],[Tier rank ]]="Tier 1", States_lend[[#This Row],[States]],"")</f>
        <v/>
      </c>
      <c r="AF32" s="146" t="str">
        <f>IF(States_lend[[#This Row],[Tier rank ]]="Tier 2", States_lend[[#This Row],[States]],"")</f>
        <v/>
      </c>
      <c r="AG32" s="146" t="str">
        <f>IF(States_lend[[#This Row],[Tier rank ]]="Tier 3", States_lend[[#This Row],[States]],"")</f>
        <v>NH</v>
      </c>
    </row>
    <row r="33" spans="2:33">
      <c r="B33" s="161" t="s">
        <v>85</v>
      </c>
      <c r="F33" s="145" t="s">
        <v>146</v>
      </c>
      <c r="H33" s="145" t="s">
        <v>3</v>
      </c>
      <c r="AB33" s="145" t="s">
        <v>147</v>
      </c>
      <c r="AD33" s="123" t="s">
        <v>19</v>
      </c>
      <c r="AE33" s="146" t="str">
        <f>IF(States_lend[[#This Row],[Tier rank ]]="Tier 1", States_lend[[#This Row],[States]],"")</f>
        <v/>
      </c>
      <c r="AF33" s="146" t="str">
        <f>IF(States_lend[[#This Row],[Tier rank ]]="Tier 2", States_lend[[#This Row],[States]],"")</f>
        <v/>
      </c>
      <c r="AG33" s="146" t="str">
        <f>IF(States_lend[[#This Row],[Tier rank ]]="Tier 3", States_lend[[#This Row],[States]],"")</f>
        <v>NJ</v>
      </c>
    </row>
    <row r="34" spans="2:33">
      <c r="B34" s="145" t="s">
        <v>86</v>
      </c>
      <c r="F34" s="145"/>
      <c r="H34" s="145" t="s">
        <v>148</v>
      </c>
      <c r="AB34" s="145" t="s">
        <v>149</v>
      </c>
      <c r="AD34" s="123" t="s">
        <v>19</v>
      </c>
      <c r="AE34" s="146" t="str">
        <f>IF(States_lend[[#This Row],[Tier rank ]]="Tier 1", States_lend[[#This Row],[States]],"")</f>
        <v/>
      </c>
      <c r="AF34" s="146" t="str">
        <f>IF(States_lend[[#This Row],[Tier rank ]]="Tier 2", States_lend[[#This Row],[States]],"")</f>
        <v/>
      </c>
      <c r="AG34" s="146" t="str">
        <f>IF(States_lend[[#This Row],[Tier rank ]]="Tier 3", States_lend[[#This Row],[States]],"")</f>
        <v>NM</v>
      </c>
    </row>
    <row r="35" spans="2:33">
      <c r="B35" s="145" t="s">
        <v>90</v>
      </c>
      <c r="F35" s="145"/>
      <c r="H35" s="145"/>
      <c r="AB35" s="145" t="s">
        <v>150</v>
      </c>
      <c r="AD35" s="123" t="s">
        <v>19</v>
      </c>
      <c r="AE35" s="146" t="str">
        <f>IF(States_lend[[#This Row],[Tier rank ]]="Tier 1", States_lend[[#This Row],[States]],"")</f>
        <v/>
      </c>
      <c r="AF35" s="146" t="str">
        <f>IF(States_lend[[#This Row],[Tier rank ]]="Tier 2", States_lend[[#This Row],[States]],"")</f>
        <v/>
      </c>
      <c r="AG35" s="146" t="str">
        <f>IF(States_lend[[#This Row],[Tier rank ]]="Tier 3", States_lend[[#This Row],[States]],"")</f>
        <v>NY</v>
      </c>
    </row>
    <row r="36" spans="2:33">
      <c r="B36" s="145" t="s">
        <v>92</v>
      </c>
      <c r="F36" s="145"/>
      <c r="H36" s="145"/>
      <c r="AB36" s="145" t="s">
        <v>151</v>
      </c>
      <c r="AD36" s="123" t="s">
        <v>19</v>
      </c>
      <c r="AE36" s="146" t="str">
        <f>IF(States_lend[[#This Row],[Tier rank ]]="Tier 1", States_lend[[#This Row],[States]],"")</f>
        <v/>
      </c>
      <c r="AF36" s="146" t="str">
        <f>IF(States_lend[[#This Row],[Tier rank ]]="Tier 2", States_lend[[#This Row],[States]],"")</f>
        <v/>
      </c>
      <c r="AG36" s="146" t="str">
        <f>IF(States_lend[[#This Row],[Tier rank ]]="Tier 3", States_lend[[#This Row],[States]],"")</f>
        <v>NC</v>
      </c>
    </row>
    <row r="37" spans="2:33">
      <c r="B37" s="145" t="s">
        <v>94</v>
      </c>
      <c r="F37" s="145"/>
      <c r="H37" s="145"/>
      <c r="AB37" s="145" t="s">
        <v>152</v>
      </c>
      <c r="AD37" s="123" t="s">
        <v>19</v>
      </c>
      <c r="AE37" s="146" t="str">
        <f>IF(States_lend[[#This Row],[Tier rank ]]="Tier 1", States_lend[[#This Row],[States]],"")</f>
        <v/>
      </c>
      <c r="AF37" s="146" t="str">
        <f>IF(States_lend[[#This Row],[Tier rank ]]="Tier 2", States_lend[[#This Row],[States]],"")</f>
        <v/>
      </c>
      <c r="AG37" s="146" t="str">
        <f>IF(States_lend[[#This Row],[Tier rank ]]="Tier 3", States_lend[[#This Row],[States]],"")</f>
        <v>ND</v>
      </c>
    </row>
    <row r="38" spans="2:33">
      <c r="B38" s="145" t="s">
        <v>98</v>
      </c>
      <c r="F38" s="167"/>
      <c r="H38" s="167"/>
      <c r="AB38" s="145" t="s">
        <v>153</v>
      </c>
      <c r="AD38" s="123" t="s">
        <v>19</v>
      </c>
      <c r="AE38" s="146" t="str">
        <f>IF(States_lend[[#This Row],[Tier rank ]]="Tier 1", States_lend[[#This Row],[States]],"")</f>
        <v/>
      </c>
      <c r="AF38" s="146" t="str">
        <f>IF(States_lend[[#This Row],[Tier rank ]]="Tier 2", States_lend[[#This Row],[States]],"")</f>
        <v/>
      </c>
      <c r="AG38" s="146" t="str">
        <f>IF(States_lend[[#This Row],[Tier rank ]]="Tier 3", States_lend[[#This Row],[States]],"")</f>
        <v>OH</v>
      </c>
    </row>
    <row r="39" spans="2:33">
      <c r="B39" s="145" t="s">
        <v>99</v>
      </c>
      <c r="AB39" s="145" t="s">
        <v>154</v>
      </c>
      <c r="AD39" s="123" t="s">
        <v>19</v>
      </c>
      <c r="AE39" s="146" t="str">
        <f>IF(States_lend[[#This Row],[Tier rank ]]="Tier 1", States_lend[[#This Row],[States]],"")</f>
        <v/>
      </c>
      <c r="AF39" s="146" t="str">
        <f>IF(States_lend[[#This Row],[Tier rank ]]="Tier 2", States_lend[[#This Row],[States]],"")</f>
        <v/>
      </c>
      <c r="AG39" s="146" t="str">
        <f>IF(States_lend[[#This Row],[Tier rank ]]="Tier 3", States_lend[[#This Row],[States]],"")</f>
        <v>OK</v>
      </c>
    </row>
    <row r="40" spans="2:33">
      <c r="B40" s="145" t="s">
        <v>100</v>
      </c>
      <c r="AB40" s="145" t="s">
        <v>155</v>
      </c>
      <c r="AD40" s="123" t="s">
        <v>19</v>
      </c>
      <c r="AE40" s="146" t="str">
        <f>IF(States_lend[[#This Row],[Tier rank ]]="Tier 1", States_lend[[#This Row],[States]],"")</f>
        <v/>
      </c>
      <c r="AF40" s="146" t="str">
        <f>IF(States_lend[[#This Row],[Tier rank ]]="Tier 2", States_lend[[#This Row],[States]],"")</f>
        <v/>
      </c>
      <c r="AG40" s="146" t="str">
        <f>IF(States_lend[[#This Row],[Tier rank ]]="Tier 3", States_lend[[#This Row],[States]],"")</f>
        <v>OR</v>
      </c>
    </row>
    <row r="41" spans="2:33">
      <c r="B41" s="145" t="s">
        <v>103</v>
      </c>
      <c r="F41" s="148" t="s">
        <v>156</v>
      </c>
      <c r="H41" s="148" t="s">
        <v>157</v>
      </c>
      <c r="AB41" s="145" t="s">
        <v>158</v>
      </c>
      <c r="AD41" s="123" t="s">
        <v>19</v>
      </c>
      <c r="AE41" s="146" t="str">
        <f>IF(States_lend[[#This Row],[Tier rank ]]="Tier 1", States_lend[[#This Row],[States]],"")</f>
        <v/>
      </c>
      <c r="AF41" s="146" t="str">
        <f>IF(States_lend[[#This Row],[Tier rank ]]="Tier 2", States_lend[[#This Row],[States]],"")</f>
        <v/>
      </c>
      <c r="AG41" s="146" t="str">
        <f>IF(States_lend[[#This Row],[Tier rank ]]="Tier 3", States_lend[[#This Row],[States]],"")</f>
        <v>PA</v>
      </c>
    </row>
    <row r="42" spans="2:33">
      <c r="B42" s="145" t="s">
        <v>105</v>
      </c>
      <c r="F42" s="161">
        <v>1</v>
      </c>
      <c r="H42" s="161">
        <v>6</v>
      </c>
      <c r="AB42" s="145" t="s">
        <v>159</v>
      </c>
      <c r="AD42" s="123" t="s">
        <v>19</v>
      </c>
      <c r="AE42" s="146" t="str">
        <f>IF(States_lend[[#This Row],[Tier rank ]]="Tier 1", States_lend[[#This Row],[States]],"")</f>
        <v/>
      </c>
      <c r="AF42" s="146" t="str">
        <f>IF(States_lend[[#This Row],[Tier rank ]]="Tier 2", States_lend[[#This Row],[States]],"")</f>
        <v/>
      </c>
      <c r="AG42" s="146" t="str">
        <f>IF(States_lend[[#This Row],[Tier rank ]]="Tier 3", States_lend[[#This Row],[States]],"")</f>
        <v>RI</v>
      </c>
    </row>
    <row r="43" spans="2:33">
      <c r="B43" s="145" t="s">
        <v>107</v>
      </c>
      <c r="F43" s="145">
        <v>2</v>
      </c>
      <c r="H43" s="145">
        <v>12</v>
      </c>
      <c r="AB43" s="145" t="s">
        <v>160</v>
      </c>
      <c r="AD43" s="123" t="s">
        <v>19</v>
      </c>
      <c r="AE43" s="146" t="str">
        <f>IF(States_lend[[#This Row],[Tier rank ]]="Tier 1", States_lend[[#This Row],[States]],"")</f>
        <v/>
      </c>
      <c r="AF43" s="146" t="str">
        <f>IF(States_lend[[#This Row],[Tier rank ]]="Tier 2", States_lend[[#This Row],[States]],"")</f>
        <v/>
      </c>
      <c r="AG43" s="146" t="str">
        <f>IF(States_lend[[#This Row],[Tier rank ]]="Tier 3", States_lend[[#This Row],[States]],"")</f>
        <v>SC</v>
      </c>
    </row>
    <row r="44" spans="2:33">
      <c r="B44" s="145" t="s">
        <v>110</v>
      </c>
      <c r="F44" s="145">
        <v>3</v>
      </c>
      <c r="H44" s="145"/>
      <c r="AB44" s="145" t="s">
        <v>161</v>
      </c>
      <c r="AD44" s="123" t="s">
        <v>19</v>
      </c>
      <c r="AE44" s="146" t="str">
        <f>IF(States_lend[[#This Row],[Tier rank ]]="Tier 1", States_lend[[#This Row],[States]],"")</f>
        <v/>
      </c>
      <c r="AF44" s="146" t="str">
        <f>IF(States_lend[[#This Row],[Tier rank ]]="Tier 2", States_lend[[#This Row],[States]],"")</f>
        <v/>
      </c>
      <c r="AG44" s="146" t="str">
        <f>IF(States_lend[[#This Row],[Tier rank ]]="Tier 3", States_lend[[#This Row],[States]],"")</f>
        <v>SD</v>
      </c>
    </row>
    <row r="45" spans="2:33">
      <c r="B45" s="145" t="s">
        <v>112</v>
      </c>
      <c r="F45" s="145">
        <v>4</v>
      </c>
      <c r="H45" s="145"/>
      <c r="AB45" s="145" t="s">
        <v>162</v>
      </c>
      <c r="AD45" s="123" t="s">
        <v>19</v>
      </c>
      <c r="AE45" s="146" t="str">
        <f>IF(States_lend[[#This Row],[Tier rank ]]="Tier 1", States_lend[[#This Row],[States]],"")</f>
        <v/>
      </c>
      <c r="AF45" s="146" t="str">
        <f>IF(States_lend[[#This Row],[Tier rank ]]="Tier 2", States_lend[[#This Row],[States]],"")</f>
        <v/>
      </c>
      <c r="AG45" s="146" t="str">
        <f>IF(States_lend[[#This Row],[Tier rank ]]="Tier 3", States_lend[[#This Row],[States]],"")</f>
        <v>TN</v>
      </c>
    </row>
    <row r="46" spans="2:33">
      <c r="B46" s="145" t="s">
        <v>113</v>
      </c>
      <c r="F46" s="171" t="s">
        <v>163</v>
      </c>
      <c r="H46" s="145"/>
      <c r="AB46" s="145" t="s">
        <v>164</v>
      </c>
      <c r="AD46" s="123" t="s">
        <v>18</v>
      </c>
      <c r="AE46" s="146" t="str">
        <f>IF(States_lend[[#This Row],[Tier rank ]]="Tier 1", States_lend[[#This Row],[States]],"")</f>
        <v/>
      </c>
      <c r="AF46" s="146" t="str">
        <f>IF(States_lend[[#This Row],[Tier rank ]]="Tier 2", States_lend[[#This Row],[States]],"")</f>
        <v>TX</v>
      </c>
      <c r="AG46" s="146" t="str">
        <f>IF(States_lend[[#This Row],[Tier rank ]]="Tier 3", States_lend[[#This Row],[States]],"")</f>
        <v/>
      </c>
    </row>
    <row r="47" spans="2:33">
      <c r="B47" s="145" t="s">
        <v>114</v>
      </c>
      <c r="F47" s="145"/>
      <c r="H47" s="145"/>
      <c r="AB47" s="145" t="s">
        <v>165</v>
      </c>
      <c r="AD47" s="123" t="s">
        <v>19</v>
      </c>
      <c r="AE47" s="146" t="str">
        <f>IF(States_lend[[#This Row],[Tier rank ]]="Tier 1", States_lend[[#This Row],[States]],"")</f>
        <v/>
      </c>
      <c r="AF47" s="146" t="str">
        <f>IF(States_lend[[#This Row],[Tier rank ]]="Tier 2", States_lend[[#This Row],[States]],"")</f>
        <v/>
      </c>
      <c r="AG47" s="146" t="str">
        <f>IF(States_lend[[#This Row],[Tier rank ]]="Tier 3", States_lend[[#This Row],[States]],"")</f>
        <v>UT</v>
      </c>
    </row>
    <row r="48" spans="2:33">
      <c r="B48" s="145" t="s">
        <v>115</v>
      </c>
      <c r="F48" s="167"/>
      <c r="H48" s="167"/>
      <c r="AB48" s="145" t="s">
        <v>166</v>
      </c>
      <c r="AD48" s="123" t="s">
        <v>19</v>
      </c>
      <c r="AE48" s="146" t="str">
        <f>IF(States_lend[[#This Row],[Tier rank ]]="Tier 1", States_lend[[#This Row],[States]],"")</f>
        <v/>
      </c>
      <c r="AF48" s="146" t="str">
        <f>IF(States_lend[[#This Row],[Tier rank ]]="Tier 2", States_lend[[#This Row],[States]],"")</f>
        <v/>
      </c>
      <c r="AG48" s="146" t="str">
        <f>IF(States_lend[[#This Row],[Tier rank ]]="Tier 3", States_lend[[#This Row],[States]],"")</f>
        <v>VT</v>
      </c>
    </row>
    <row r="49" spans="2:33">
      <c r="B49" s="145" t="s">
        <v>116</v>
      </c>
      <c r="AB49" s="145" t="s">
        <v>167</v>
      </c>
      <c r="AD49" s="123" t="s">
        <v>19</v>
      </c>
      <c r="AE49" s="146" t="str">
        <f>IF(States_lend[[#This Row],[Tier rank ]]="Tier 1", States_lend[[#This Row],[States]],"")</f>
        <v/>
      </c>
      <c r="AF49" s="146" t="str">
        <f>IF(States_lend[[#This Row],[Tier rank ]]="Tier 2", States_lend[[#This Row],[States]],"")</f>
        <v/>
      </c>
      <c r="AG49" s="146" t="str">
        <f>IF(States_lend[[#This Row],[Tier rank ]]="Tier 3", States_lend[[#This Row],[States]],"")</f>
        <v>VA</v>
      </c>
    </row>
    <row r="50" spans="2:33">
      <c r="B50" s="145" t="s">
        <v>120</v>
      </c>
      <c r="AB50" s="145" t="s">
        <v>168</v>
      </c>
      <c r="AD50" s="123" t="s">
        <v>19</v>
      </c>
      <c r="AE50" s="146" t="str">
        <f>IF(States_lend[[#This Row],[Tier rank ]]="Tier 1", States_lend[[#This Row],[States]],"")</f>
        <v/>
      </c>
      <c r="AF50" s="146" t="str">
        <f>IF(States_lend[[#This Row],[Tier rank ]]="Tier 2", States_lend[[#This Row],[States]],"")</f>
        <v/>
      </c>
      <c r="AG50" s="146" t="str">
        <f>IF(States_lend[[#This Row],[Tier rank ]]="Tier 3", States_lend[[#This Row],[States]],"")</f>
        <v>WA</v>
      </c>
    </row>
    <row r="51" spans="2:33">
      <c r="B51" s="145" t="s">
        <v>125</v>
      </c>
      <c r="F51" s="150" t="s">
        <v>169</v>
      </c>
      <c r="H51" s="150" t="s">
        <v>170</v>
      </c>
      <c r="AB51" s="145" t="s">
        <v>171</v>
      </c>
      <c r="AD51" s="123" t="s">
        <v>19</v>
      </c>
      <c r="AE51" s="146" t="str">
        <f>IF(States_lend[[#This Row],[Tier rank ]]="Tier 1", States_lend[[#This Row],[States]],"")</f>
        <v/>
      </c>
      <c r="AF51" s="146" t="str">
        <f>IF(States_lend[[#This Row],[Tier rank ]]="Tier 2", States_lend[[#This Row],[States]],"")</f>
        <v/>
      </c>
      <c r="AG51" s="146" t="str">
        <f>IF(States_lend[[#This Row],[Tier rank ]]="Tier 3", States_lend[[#This Row],[States]],"")</f>
        <v>WV</v>
      </c>
    </row>
    <row r="52" spans="2:33">
      <c r="B52" s="145" t="s">
        <v>130</v>
      </c>
      <c r="F52" s="169" t="s">
        <v>143</v>
      </c>
      <c r="H52" s="172">
        <v>2.2499999999999999E-2</v>
      </c>
      <c r="AB52" s="145" t="s">
        <v>172</v>
      </c>
      <c r="AD52" s="123" t="s">
        <v>19</v>
      </c>
      <c r="AE52" s="146" t="str">
        <f>IF(States_lend[[#This Row],[Tier rank ]]="Tier 1", States_lend[[#This Row],[States]],"")</f>
        <v/>
      </c>
      <c r="AF52" s="146" t="str">
        <f>IF(States_lend[[#This Row],[Tier rank ]]="Tier 2", States_lend[[#This Row],[States]],"")</f>
        <v/>
      </c>
      <c r="AG52" s="146" t="str">
        <f>IF(States_lend[[#This Row],[Tier rank ]]="Tier 3", States_lend[[#This Row],[States]],"")</f>
        <v>WI</v>
      </c>
    </row>
    <row r="53" spans="2:33">
      <c r="B53" s="145" t="s">
        <v>132</v>
      </c>
      <c r="F53" s="170" t="s">
        <v>146</v>
      </c>
      <c r="H53" s="173">
        <v>0.02</v>
      </c>
      <c r="AB53" s="145" t="s">
        <v>173</v>
      </c>
      <c r="AD53" s="123" t="s">
        <v>19</v>
      </c>
      <c r="AE53" s="146" t="str">
        <f>IF(States_lend[[#This Row],[Tier rank ]]="Tier 1", States_lend[[#This Row],[States]],"")</f>
        <v/>
      </c>
      <c r="AF53" s="146" t="str">
        <f>IF(States_lend[[#This Row],[Tier rank ]]="Tier 2", States_lend[[#This Row],[States]],"")</f>
        <v/>
      </c>
      <c r="AG53" s="146" t="str">
        <f>IF(States_lend[[#This Row],[Tier rank ]]="Tier 3", States_lend[[#This Row],[States]],"")</f>
        <v>WY</v>
      </c>
    </row>
    <row r="54" spans="2:33">
      <c r="B54" s="145" t="s">
        <v>134</v>
      </c>
      <c r="F54" s="145"/>
      <c r="H54" s="174">
        <v>1.7500000000000002E-2</v>
      </c>
      <c r="AB54" s="145" t="s">
        <v>174</v>
      </c>
      <c r="AD54" s="123" t="s">
        <v>19</v>
      </c>
      <c r="AE54" s="123" t="str">
        <f>IF(States_lend[[#This Row],[Tier rank ]]="Tier 1", States_lend[[#This Row],[States]],"")</f>
        <v/>
      </c>
      <c r="AF54" s="123" t="str">
        <f>IF(States_lend[[#This Row],[Tier rank ]]="Tier 2", States_lend[[#This Row],[States]],"")</f>
        <v/>
      </c>
      <c r="AG54" s="123" t="str">
        <f>IF(States_lend[[#This Row],[Tier rank ]]="Tier 3", States_lend[[#This Row],[States]],"")</f>
        <v>DC</v>
      </c>
    </row>
    <row r="55" spans="2:33">
      <c r="B55" s="145" t="s">
        <v>135</v>
      </c>
      <c r="F55" s="145"/>
      <c r="H55" s="174">
        <v>1.4999999999999999E-2</v>
      </c>
    </row>
    <row r="56" spans="2:33">
      <c r="B56" s="145" t="s">
        <v>136</v>
      </c>
      <c r="F56" s="145"/>
      <c r="H56" s="174">
        <v>1.2500000000000001E-2</v>
      </c>
    </row>
    <row r="57" spans="2:33">
      <c r="B57" s="145" t="s">
        <v>137</v>
      </c>
      <c r="F57" s="145"/>
      <c r="H57" s="174">
        <v>0.01</v>
      </c>
    </row>
    <row r="58" spans="2:33">
      <c r="B58" s="145" t="s">
        <v>138</v>
      </c>
      <c r="F58" s="167"/>
      <c r="H58" s="175">
        <v>7.4999999999999997E-3</v>
      </c>
    </row>
    <row r="59" spans="2:33">
      <c r="B59" s="145" t="s">
        <v>139</v>
      </c>
    </row>
    <row r="60" spans="2:33">
      <c r="B60" s="145" t="s">
        <v>142</v>
      </c>
      <c r="F60" s="176" t="s">
        <v>175</v>
      </c>
      <c r="G60" s="177"/>
      <c r="H60" s="178"/>
    </row>
    <row r="61" spans="2:33">
      <c r="B61" s="145" t="s">
        <v>145</v>
      </c>
      <c r="F61" s="179" t="s">
        <v>176</v>
      </c>
      <c r="G61" s="179" t="s">
        <v>39</v>
      </c>
      <c r="H61" s="180" t="s">
        <v>46</v>
      </c>
      <c r="I61"/>
    </row>
    <row r="62" spans="2:33">
      <c r="B62" s="145" t="s">
        <v>147</v>
      </c>
      <c r="F62" s="181">
        <v>10</v>
      </c>
      <c r="G62" s="150" t="s">
        <v>44</v>
      </c>
      <c r="H62" s="150" t="s">
        <v>34</v>
      </c>
      <c r="I62"/>
    </row>
    <row r="63" spans="2:33">
      <c r="B63" s="145" t="s">
        <v>149</v>
      </c>
      <c r="F63" s="181">
        <v>9</v>
      </c>
      <c r="G63" s="150" t="s">
        <v>47</v>
      </c>
      <c r="H63" s="150" t="s">
        <v>18</v>
      </c>
    </row>
    <row r="64" spans="2:33">
      <c r="B64" s="145" t="s">
        <v>150</v>
      </c>
      <c r="F64" s="150">
        <v>8</v>
      </c>
      <c r="G64" s="150" t="s">
        <v>47</v>
      </c>
      <c r="H64" s="150" t="s">
        <v>18</v>
      </c>
    </row>
    <row r="65" spans="2:17">
      <c r="B65" s="145" t="s">
        <v>151</v>
      </c>
      <c r="F65" s="181">
        <v>7</v>
      </c>
      <c r="G65" s="150" t="s">
        <v>47</v>
      </c>
      <c r="H65" s="150" t="s">
        <v>18</v>
      </c>
    </row>
    <row r="66" spans="2:17">
      <c r="B66" s="145" t="s">
        <v>152</v>
      </c>
      <c r="F66" s="181">
        <v>6</v>
      </c>
      <c r="G66" s="150" t="s">
        <v>47</v>
      </c>
      <c r="H66" s="150" t="s">
        <v>18</v>
      </c>
    </row>
    <row r="67" spans="2:17">
      <c r="B67" s="145" t="s">
        <v>153</v>
      </c>
      <c r="F67" s="150">
        <v>5</v>
      </c>
      <c r="G67" s="150" t="s">
        <v>47</v>
      </c>
      <c r="H67" s="150" t="s">
        <v>18</v>
      </c>
    </row>
    <row r="68" spans="2:17">
      <c r="B68" s="145" t="s">
        <v>154</v>
      </c>
      <c r="F68" s="181">
        <v>4</v>
      </c>
      <c r="G68" s="150" t="s">
        <v>48</v>
      </c>
      <c r="H68" s="150" t="s">
        <v>177</v>
      </c>
    </row>
    <row r="69" spans="2:17">
      <c r="B69" s="145" t="s">
        <v>155</v>
      </c>
      <c r="F69" s="181">
        <v>3</v>
      </c>
      <c r="G69" s="150" t="s">
        <v>48</v>
      </c>
      <c r="H69" s="150" t="s">
        <v>177</v>
      </c>
    </row>
    <row r="70" spans="2:17">
      <c r="B70" s="145" t="s">
        <v>158</v>
      </c>
      <c r="F70" s="150">
        <v>2</v>
      </c>
      <c r="G70" s="150" t="s">
        <v>48</v>
      </c>
      <c r="H70" s="150" t="s">
        <v>177</v>
      </c>
    </row>
    <row r="71" spans="2:17">
      <c r="B71" s="145" t="s">
        <v>159</v>
      </c>
      <c r="F71" s="181">
        <v>1</v>
      </c>
      <c r="G71" s="150" t="s">
        <v>49</v>
      </c>
      <c r="H71" s="150" t="s">
        <v>178</v>
      </c>
    </row>
    <row r="72" spans="2:17">
      <c r="B72" s="145" t="s">
        <v>160</v>
      </c>
    </row>
    <row r="73" spans="2:17">
      <c r="B73" s="145" t="s">
        <v>161</v>
      </c>
    </row>
    <row r="74" spans="2:17">
      <c r="B74" s="145" t="s">
        <v>162</v>
      </c>
      <c r="F74" s="150" t="s">
        <v>179</v>
      </c>
      <c r="H74" s="176" t="s">
        <v>20</v>
      </c>
      <c r="I74" s="177"/>
      <c r="J74" s="177"/>
      <c r="K74" s="177"/>
      <c r="L74" s="177"/>
      <c r="M74" s="177"/>
      <c r="N74" s="177"/>
      <c r="O74" s="177"/>
      <c r="P74" s="177"/>
      <c r="Q74" s="178"/>
    </row>
    <row r="75" spans="2:17">
      <c r="B75" s="145" t="s">
        <v>164</v>
      </c>
      <c r="F75" s="131" t="s">
        <v>34</v>
      </c>
      <c r="H75" s="143" t="s">
        <v>180</v>
      </c>
      <c r="I75" s="143" t="s">
        <v>181</v>
      </c>
      <c r="J75" s="143" t="s">
        <v>181</v>
      </c>
      <c r="K75" s="143" t="s">
        <v>181</v>
      </c>
      <c r="L75" s="143" t="s">
        <v>81</v>
      </c>
      <c r="M75" s="143" t="s">
        <v>4</v>
      </c>
      <c r="N75" s="143" t="s">
        <v>5</v>
      </c>
      <c r="O75" s="143" t="s">
        <v>91</v>
      </c>
      <c r="P75" s="143" t="s">
        <v>93</v>
      </c>
      <c r="Q75" s="143" t="s">
        <v>95</v>
      </c>
    </row>
    <row r="76" spans="2:17">
      <c r="B76" s="145" t="s">
        <v>165</v>
      </c>
      <c r="F76" s="131" t="s">
        <v>18</v>
      </c>
      <c r="H76" s="143" t="s">
        <v>182</v>
      </c>
      <c r="I76" s="143" t="s">
        <v>181</v>
      </c>
      <c r="J76" s="143" t="s">
        <v>181</v>
      </c>
      <c r="K76" s="143" t="s">
        <v>181</v>
      </c>
      <c r="L76" s="143" t="s">
        <v>81</v>
      </c>
      <c r="M76" s="143" t="s">
        <v>4</v>
      </c>
      <c r="N76" s="143" t="s">
        <v>5</v>
      </c>
      <c r="O76" s="143" t="s">
        <v>91</v>
      </c>
      <c r="P76" s="143" t="s">
        <v>93</v>
      </c>
      <c r="Q76" s="143" t="s">
        <v>95</v>
      </c>
    </row>
    <row r="77" spans="2:17">
      <c r="B77" s="145" t="s">
        <v>166</v>
      </c>
      <c r="F77" s="131" t="s">
        <v>19</v>
      </c>
      <c r="H77"/>
    </row>
    <row r="78" spans="2:17">
      <c r="B78" s="145" t="s">
        <v>167</v>
      </c>
      <c r="F78" s="131" t="s">
        <v>178</v>
      </c>
      <c r="H78"/>
    </row>
    <row r="79" spans="2:17">
      <c r="B79" s="145" t="s">
        <v>168</v>
      </c>
    </row>
    <row r="80" spans="2:17">
      <c r="B80" s="145" t="s">
        <v>171</v>
      </c>
    </row>
    <row r="81" spans="2:8">
      <c r="B81" s="145" t="s">
        <v>172</v>
      </c>
      <c r="F81" s="150" t="s">
        <v>183</v>
      </c>
      <c r="H81" s="150" t="s">
        <v>184</v>
      </c>
    </row>
    <row r="82" spans="2:8">
      <c r="B82" s="145" t="s">
        <v>173</v>
      </c>
      <c r="F82" s="131" t="s">
        <v>185</v>
      </c>
      <c r="H82" s="143" t="s">
        <v>186</v>
      </c>
    </row>
    <row r="83" spans="2:8">
      <c r="B83" s="167" t="s">
        <v>174</v>
      </c>
      <c r="F83" s="131" t="s">
        <v>187</v>
      </c>
      <c r="H83" s="143" t="s">
        <v>188</v>
      </c>
    </row>
    <row r="85" spans="2:8">
      <c r="B85" s="148" t="s">
        <v>75</v>
      </c>
      <c r="C85" s="148" t="s">
        <v>141</v>
      </c>
    </row>
    <row r="86" spans="2:8">
      <c r="B86" s="143" t="s">
        <v>81</v>
      </c>
      <c r="C86" s="143" t="s">
        <v>189</v>
      </c>
      <c r="F86" s="176" t="s">
        <v>190</v>
      </c>
      <c r="G86" s="177"/>
    </row>
    <row r="87" spans="2:8">
      <c r="B87" s="143" t="s">
        <v>4</v>
      </c>
      <c r="C87" s="143" t="s">
        <v>189</v>
      </c>
      <c r="F87" s="161" t="s">
        <v>181</v>
      </c>
      <c r="G87" s="182" t="s">
        <v>191</v>
      </c>
    </row>
    <row r="88" spans="2:8">
      <c r="B88" s="143" t="s">
        <v>5</v>
      </c>
      <c r="C88" s="143" t="s">
        <v>192</v>
      </c>
      <c r="F88" s="182" t="s">
        <v>193</v>
      </c>
      <c r="G88" s="182" t="s">
        <v>194</v>
      </c>
    </row>
    <row r="89" spans="2:8">
      <c r="B89" s="143" t="s">
        <v>91</v>
      </c>
      <c r="C89" s="143" t="s">
        <v>195</v>
      </c>
      <c r="F89" s="182" t="s">
        <v>196</v>
      </c>
      <c r="G89" s="182" t="s">
        <v>197</v>
      </c>
    </row>
    <row r="90" spans="2:8">
      <c r="B90" s="143" t="s">
        <v>93</v>
      </c>
      <c r="C90" s="143" t="s">
        <v>198</v>
      </c>
      <c r="F90" s="182"/>
      <c r="G90" s="182"/>
    </row>
    <row r="91" spans="2:8">
      <c r="B91" s="143" t="s">
        <v>95</v>
      </c>
      <c r="C91" s="143" t="s">
        <v>199</v>
      </c>
      <c r="F91" s="182"/>
      <c r="G91" s="182"/>
    </row>
    <row r="92" spans="2:8">
      <c r="B92" s="143"/>
      <c r="C92" s="143"/>
      <c r="F92" s="182"/>
      <c r="G92" s="182"/>
    </row>
    <row r="93" spans="2:8">
      <c r="F93" s="182"/>
      <c r="G93" s="182"/>
    </row>
    <row r="100" spans="2:5" ht="14.45">
      <c r="B100" s="183" t="s">
        <v>200</v>
      </c>
      <c r="C100" s="184" t="s">
        <v>201</v>
      </c>
      <c r="D100" s="185"/>
      <c r="E100" s="185"/>
    </row>
    <row r="101" spans="2:5" ht="14.45">
      <c r="B101" s="186" t="s">
        <v>86</v>
      </c>
      <c r="C101" s="187" t="s">
        <v>202</v>
      </c>
      <c r="D101" s="185"/>
      <c r="E101" s="185"/>
    </row>
    <row r="102" spans="2:5" ht="14.45">
      <c r="B102" s="186" t="s">
        <v>86</v>
      </c>
      <c r="C102" s="187" t="s">
        <v>202</v>
      </c>
      <c r="D102" s="185"/>
      <c r="E102" s="185"/>
    </row>
    <row r="103" spans="2:5" ht="14.45">
      <c r="B103" s="186" t="s">
        <v>85</v>
      </c>
      <c r="C103" s="187" t="s">
        <v>202</v>
      </c>
      <c r="D103" s="185"/>
      <c r="E103" s="185"/>
    </row>
    <row r="104" spans="2:5" ht="14.45">
      <c r="B104" s="186" t="s">
        <v>90</v>
      </c>
      <c r="C104" s="187" t="s">
        <v>202</v>
      </c>
      <c r="D104" s="185"/>
      <c r="E104" s="185"/>
    </row>
    <row r="105" spans="2:5" ht="14.45">
      <c r="B105" s="186" t="s">
        <v>94</v>
      </c>
      <c r="C105" s="187" t="s">
        <v>202</v>
      </c>
      <c r="D105" s="185"/>
      <c r="E105" s="185"/>
    </row>
    <row r="106" spans="2:5" ht="14.45">
      <c r="B106" s="186" t="s">
        <v>98</v>
      </c>
      <c r="C106" s="187" t="s">
        <v>202</v>
      </c>
      <c r="D106" s="185"/>
      <c r="E106" s="185"/>
    </row>
    <row r="107" spans="2:5" ht="14.45">
      <c r="B107" s="186" t="s">
        <v>99</v>
      </c>
      <c r="C107" s="187" t="s">
        <v>203</v>
      </c>
      <c r="D107" s="185"/>
      <c r="E107" s="185"/>
    </row>
    <row r="108" spans="2:5" ht="14.45">
      <c r="B108" s="186" t="s">
        <v>174</v>
      </c>
      <c r="C108" s="187" t="s">
        <v>202</v>
      </c>
      <c r="D108" s="185"/>
      <c r="E108" s="185"/>
    </row>
    <row r="109" spans="2:5" ht="14.45">
      <c r="B109" s="186" t="s">
        <v>100</v>
      </c>
      <c r="C109" s="187" t="s">
        <v>203</v>
      </c>
      <c r="D109" s="185"/>
      <c r="E109" s="185"/>
    </row>
    <row r="110" spans="2:5" ht="14.45">
      <c r="B110" s="186" t="s">
        <v>103</v>
      </c>
      <c r="C110" s="187" t="s">
        <v>203</v>
      </c>
      <c r="D110" s="185"/>
      <c r="E110" s="185"/>
    </row>
    <row r="111" spans="2:5" ht="14.45">
      <c r="B111" s="186" t="s">
        <v>105</v>
      </c>
      <c r="C111" s="187" t="s">
        <v>203</v>
      </c>
      <c r="D111" s="185"/>
      <c r="E111" s="185"/>
    </row>
    <row r="112" spans="2:5" ht="14.45">
      <c r="B112" s="186" t="s">
        <v>107</v>
      </c>
      <c r="C112" s="187" t="s">
        <v>203</v>
      </c>
      <c r="D112" s="185"/>
      <c r="E112" s="185"/>
    </row>
    <row r="113" spans="2:5" ht="14.45">
      <c r="B113" s="186" t="s">
        <v>114</v>
      </c>
      <c r="C113" s="187" t="s">
        <v>203</v>
      </c>
      <c r="D113" s="185"/>
      <c r="E113" s="185"/>
    </row>
    <row r="114" spans="2:5" ht="14.45">
      <c r="B114" s="186" t="s">
        <v>110</v>
      </c>
      <c r="C114" s="187" t="s">
        <v>202</v>
      </c>
      <c r="D114" s="185"/>
      <c r="E114" s="185"/>
    </row>
    <row r="115" spans="2:5" ht="14.45">
      <c r="B115" s="186" t="s">
        <v>112</v>
      </c>
      <c r="C115" s="187" t="s">
        <v>203</v>
      </c>
      <c r="D115" s="185"/>
      <c r="E115" s="185"/>
    </row>
    <row r="116" spans="2:5" ht="14.45">
      <c r="B116" s="186" t="s">
        <v>113</v>
      </c>
      <c r="C116" s="187" t="s">
        <v>203</v>
      </c>
      <c r="D116" s="185"/>
      <c r="E116" s="185"/>
    </row>
    <row r="117" spans="2:5" ht="14.45">
      <c r="B117" s="186" t="s">
        <v>115</v>
      </c>
      <c r="C117" s="187" t="s">
        <v>203</v>
      </c>
      <c r="D117" s="185"/>
      <c r="E117" s="185"/>
    </row>
    <row r="118" spans="2:5" ht="14.45">
      <c r="B118" s="186" t="s">
        <v>116</v>
      </c>
      <c r="C118" s="187" t="s">
        <v>203</v>
      </c>
      <c r="D118" s="185"/>
      <c r="E118" s="185"/>
    </row>
    <row r="119" spans="2:5" ht="14.45">
      <c r="B119" s="186" t="s">
        <v>120</v>
      </c>
      <c r="C119" s="187" t="s">
        <v>203</v>
      </c>
      <c r="D119" s="185"/>
      <c r="E119" s="185"/>
    </row>
    <row r="120" spans="2:5" ht="14.45">
      <c r="B120" s="186" t="s">
        <v>132</v>
      </c>
      <c r="C120" s="187" t="s">
        <v>202</v>
      </c>
      <c r="D120" s="185"/>
      <c r="E120" s="185"/>
    </row>
    <row r="121" spans="2:5" ht="14.45">
      <c r="B121" s="186" t="s">
        <v>130</v>
      </c>
      <c r="C121" s="187" t="s">
        <v>202</v>
      </c>
      <c r="D121" s="185"/>
      <c r="E121" s="185"/>
    </row>
    <row r="122" spans="2:5" ht="14.45">
      <c r="B122" s="186" t="s">
        <v>125</v>
      </c>
      <c r="C122" s="187" t="s">
        <v>203</v>
      </c>
      <c r="D122" s="185"/>
      <c r="E122" s="185"/>
    </row>
    <row r="123" spans="2:5" ht="14.45">
      <c r="B123" s="186" t="s">
        <v>134</v>
      </c>
      <c r="C123" s="187" t="s">
        <v>202</v>
      </c>
      <c r="D123" s="185"/>
      <c r="E123" s="185"/>
    </row>
    <row r="124" spans="2:5" ht="14.45">
      <c r="B124" s="186" t="s">
        <v>135</v>
      </c>
      <c r="C124" s="187" t="s">
        <v>202</v>
      </c>
      <c r="D124" s="185"/>
      <c r="E124" s="185"/>
    </row>
    <row r="125" spans="2:5" ht="14.45">
      <c r="B125" s="186" t="s">
        <v>137</v>
      </c>
      <c r="C125" s="187" t="s">
        <v>202</v>
      </c>
      <c r="D125" s="185"/>
      <c r="E125" s="185"/>
    </row>
    <row r="126" spans="2:5" ht="14.45">
      <c r="B126" s="186" t="s">
        <v>136</v>
      </c>
      <c r="C126" s="187" t="s">
        <v>202</v>
      </c>
      <c r="D126" s="185"/>
      <c r="E126" s="185"/>
    </row>
    <row r="127" spans="2:5" ht="14.45">
      <c r="B127" s="186" t="s">
        <v>138</v>
      </c>
      <c r="C127" s="187" t="s">
        <v>202</v>
      </c>
      <c r="D127" s="185"/>
      <c r="E127" s="185"/>
    </row>
    <row r="128" spans="2:5" ht="14.45">
      <c r="B128" s="186" t="s">
        <v>151</v>
      </c>
      <c r="C128" s="187" t="s">
        <v>202</v>
      </c>
      <c r="D128" s="185"/>
      <c r="E128" s="185"/>
    </row>
    <row r="129" spans="2:5" ht="14.45">
      <c r="B129" s="186" t="s">
        <v>152</v>
      </c>
      <c r="C129" s="187" t="s">
        <v>203</v>
      </c>
      <c r="D129" s="185"/>
      <c r="E129" s="185"/>
    </row>
    <row r="130" spans="2:5" ht="14.45">
      <c r="B130" s="186" t="s">
        <v>139</v>
      </c>
      <c r="C130" s="187" t="s">
        <v>202</v>
      </c>
      <c r="D130" s="185"/>
      <c r="E130" s="185"/>
    </row>
    <row r="131" spans="2:5" ht="14.45">
      <c r="B131" s="186" t="s">
        <v>145</v>
      </c>
      <c r="C131" s="187" t="s">
        <v>202</v>
      </c>
      <c r="D131" s="185"/>
      <c r="E131" s="185"/>
    </row>
    <row r="132" spans="2:5" ht="14.45">
      <c r="B132" s="186" t="s">
        <v>147</v>
      </c>
      <c r="C132" s="187" t="s">
        <v>203</v>
      </c>
      <c r="D132" s="185"/>
      <c r="E132" s="185"/>
    </row>
    <row r="133" spans="2:5" ht="14.45">
      <c r="B133" s="186" t="s">
        <v>149</v>
      </c>
      <c r="C133" s="187" t="s">
        <v>203</v>
      </c>
      <c r="D133" s="185"/>
      <c r="E133" s="185"/>
    </row>
    <row r="134" spans="2:5" ht="14.45">
      <c r="B134" s="186" t="s">
        <v>142</v>
      </c>
      <c r="C134" s="187" t="s">
        <v>202</v>
      </c>
      <c r="D134" s="185"/>
      <c r="E134" s="185"/>
    </row>
    <row r="135" spans="2:5" ht="14.45">
      <c r="B135" s="186" t="s">
        <v>150</v>
      </c>
      <c r="C135" s="187" t="s">
        <v>203</v>
      </c>
      <c r="D135" s="185"/>
      <c r="E135" s="185"/>
    </row>
    <row r="136" spans="2:5" ht="14.45">
      <c r="B136" s="186" t="s">
        <v>153</v>
      </c>
      <c r="C136" s="187" t="s">
        <v>203</v>
      </c>
      <c r="D136" s="185"/>
      <c r="E136" s="185"/>
    </row>
    <row r="137" spans="2:5" ht="14.45">
      <c r="B137" s="186" t="s">
        <v>154</v>
      </c>
      <c r="C137" s="187" t="s">
        <v>202</v>
      </c>
      <c r="D137" s="185"/>
      <c r="E137" s="185"/>
    </row>
    <row r="138" spans="2:5" ht="14.45">
      <c r="B138" s="186" t="s">
        <v>155</v>
      </c>
      <c r="C138" s="187" t="s">
        <v>202</v>
      </c>
      <c r="D138" s="185"/>
      <c r="E138" s="185"/>
    </row>
    <row r="139" spans="2:5" ht="14.45">
      <c r="B139" s="186" t="s">
        <v>158</v>
      </c>
      <c r="C139" s="187" t="s">
        <v>203</v>
      </c>
      <c r="D139" s="185"/>
      <c r="E139" s="185"/>
    </row>
    <row r="140" spans="2:5" ht="14.45">
      <c r="B140" s="186" t="s">
        <v>159</v>
      </c>
      <c r="C140" s="187" t="s">
        <v>202</v>
      </c>
      <c r="D140" s="185"/>
      <c r="E140" s="185"/>
    </row>
    <row r="141" spans="2:5" ht="14.45">
      <c r="B141" s="186" t="s">
        <v>160</v>
      </c>
      <c r="C141" s="187" t="s">
        <v>203</v>
      </c>
      <c r="D141" s="185"/>
      <c r="E141" s="185"/>
    </row>
    <row r="142" spans="2:5" ht="14.45">
      <c r="B142" s="186" t="s">
        <v>161</v>
      </c>
      <c r="C142" s="187" t="s">
        <v>202</v>
      </c>
      <c r="D142" s="185"/>
      <c r="E142" s="185"/>
    </row>
    <row r="143" spans="2:5" ht="14.45">
      <c r="B143" s="186" t="s">
        <v>162</v>
      </c>
      <c r="C143" s="187" t="s">
        <v>202</v>
      </c>
      <c r="D143" s="185"/>
      <c r="E143" s="185"/>
    </row>
    <row r="144" spans="2:5" ht="14.45">
      <c r="B144" s="186" t="s">
        <v>164</v>
      </c>
      <c r="C144" s="187" t="s">
        <v>202</v>
      </c>
      <c r="D144" s="185"/>
      <c r="E144" s="185"/>
    </row>
    <row r="145" spans="2:5" ht="14.45">
      <c r="B145" s="186" t="s">
        <v>165</v>
      </c>
      <c r="C145" s="187" t="s">
        <v>202</v>
      </c>
      <c r="D145" s="185"/>
      <c r="E145" s="185"/>
    </row>
    <row r="146" spans="2:5" ht="14.45">
      <c r="B146" s="186" t="s">
        <v>167</v>
      </c>
      <c r="C146" s="187" t="s">
        <v>202</v>
      </c>
      <c r="D146" s="185"/>
      <c r="E146" s="185"/>
    </row>
    <row r="147" spans="2:5" ht="14.45">
      <c r="B147" s="186" t="s">
        <v>166</v>
      </c>
      <c r="C147" s="187" t="s">
        <v>203</v>
      </c>
      <c r="D147" s="185"/>
      <c r="E147" s="185"/>
    </row>
    <row r="148" spans="2:5" ht="14.45">
      <c r="B148" s="186" t="s">
        <v>168</v>
      </c>
      <c r="C148" s="187" t="s">
        <v>202</v>
      </c>
      <c r="D148" s="185"/>
      <c r="E148" s="185"/>
    </row>
    <row r="149" spans="2:5" ht="14.45">
      <c r="B149" s="186" t="s">
        <v>172</v>
      </c>
      <c r="C149" s="187" t="s">
        <v>203</v>
      </c>
      <c r="D149" s="185"/>
      <c r="E149" s="185"/>
    </row>
    <row r="150" spans="2:5" ht="14.45">
      <c r="B150" s="186" t="s">
        <v>171</v>
      </c>
      <c r="C150" s="187" t="s">
        <v>202</v>
      </c>
      <c r="D150" s="185"/>
      <c r="E150" s="185"/>
    </row>
    <row r="151" spans="2:5" ht="14.45">
      <c r="B151" s="186" t="s">
        <v>173</v>
      </c>
      <c r="C151" s="187" t="s">
        <v>202</v>
      </c>
      <c r="D151" s="185"/>
      <c r="E151" s="185"/>
    </row>
  </sheetData>
  <dataValidations count="1">
    <dataValidation type="list" allowBlank="1" showInputMessage="1" showErrorMessage="1" sqref="AD4:AD54" xr:uid="{6E184DDA-8B0D-4E6D-85E2-38A4EEBC78F7}">
      <formula1>$AI$4:$AI$11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9851-3806-43B2-ACDA-6A978FBC2FD3}">
  <dimension ref="A2:R145"/>
  <sheetViews>
    <sheetView topLeftCell="A128" workbookViewId="0">
      <selection activeCell="E145" sqref="E145"/>
    </sheetView>
  </sheetViews>
  <sheetFormatPr defaultRowHeight="14.1"/>
  <cols>
    <col min="2" max="2" width="13.140625" bestFit="1" customWidth="1"/>
    <col min="3" max="4" width="13.5703125" bestFit="1" customWidth="1"/>
    <col min="5" max="5" width="16.28515625" bestFit="1" customWidth="1"/>
    <col min="7" max="7" width="13.28515625" bestFit="1" customWidth="1"/>
    <col min="11" max="11" width="13.28515625" bestFit="1" customWidth="1"/>
  </cols>
  <sheetData>
    <row r="2" spans="1:2">
      <c r="B2" t="s">
        <v>204</v>
      </c>
    </row>
    <row r="4" spans="1:2">
      <c r="A4">
        <v>1</v>
      </c>
      <c r="B4" t="s">
        <v>205</v>
      </c>
    </row>
    <row r="5" spans="1:2">
      <c r="A5">
        <v>2</v>
      </c>
      <c r="B5" t="s">
        <v>206</v>
      </c>
    </row>
    <row r="12" spans="1:2">
      <c r="B12" t="s">
        <v>207</v>
      </c>
    </row>
    <row r="14" spans="1:2">
      <c r="A14">
        <v>3</v>
      </c>
      <c r="B14" t="s">
        <v>208</v>
      </c>
    </row>
    <row r="16" spans="1:2">
      <c r="B16" t="s">
        <v>209</v>
      </c>
    </row>
    <row r="48" spans="1:2">
      <c r="A48">
        <v>4</v>
      </c>
      <c r="B48" t="s">
        <v>210</v>
      </c>
    </row>
    <row r="50" spans="1:18">
      <c r="B50" t="s">
        <v>211</v>
      </c>
    </row>
    <row r="62" spans="1:18" ht="45.75" customHeight="1">
      <c r="A62">
        <v>5</v>
      </c>
      <c r="B62" s="219" t="s">
        <v>212</v>
      </c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</row>
    <row r="73" spans="3:11">
      <c r="C73" t="s">
        <v>213</v>
      </c>
    </row>
    <row r="75" spans="3:11" ht="15.95">
      <c r="C75" s="13" t="s">
        <v>27</v>
      </c>
      <c r="D75" s="13" t="s">
        <v>28</v>
      </c>
      <c r="E75" s="13" t="s">
        <v>29</v>
      </c>
    </row>
    <row r="76" spans="3:11" ht="15">
      <c r="C76" s="18"/>
      <c r="D76" s="18"/>
      <c r="E76" s="19" t="s">
        <v>214</v>
      </c>
    </row>
    <row r="77" spans="3:11" ht="15.95">
      <c r="C77" s="26">
        <v>3500000</v>
      </c>
      <c r="D77" s="26">
        <v>4999999</v>
      </c>
      <c r="E77" s="27">
        <v>0.82500000000000007</v>
      </c>
      <c r="G77" s="191">
        <v>1200000</v>
      </c>
      <c r="H77" t="s">
        <v>215</v>
      </c>
      <c r="I77" s="192">
        <v>0.82500000000000007</v>
      </c>
      <c r="J77" s="190" t="s">
        <v>216</v>
      </c>
      <c r="K77" s="193">
        <f>G77*I77</f>
        <v>990000.00000000012</v>
      </c>
    </row>
    <row r="78" spans="3:11" ht="15.95">
      <c r="C78" s="26">
        <v>2000000</v>
      </c>
      <c r="D78" s="26">
        <v>3499999</v>
      </c>
      <c r="E78" s="27">
        <v>0.85</v>
      </c>
      <c r="G78" s="191">
        <v>1200000</v>
      </c>
      <c r="H78" t="s">
        <v>215</v>
      </c>
      <c r="I78" s="192">
        <v>0.85</v>
      </c>
      <c r="J78" s="190" t="s">
        <v>216</v>
      </c>
      <c r="K78" s="193">
        <f t="shared" ref="K78:K80" si="0">G78*I78</f>
        <v>1020000</v>
      </c>
    </row>
    <row r="79" spans="3:11" ht="15.95">
      <c r="C79" s="26">
        <v>1000000</v>
      </c>
      <c r="D79" s="26">
        <v>1999999</v>
      </c>
      <c r="E79" s="27">
        <v>0.85000000000000009</v>
      </c>
      <c r="G79" s="191">
        <v>1200000</v>
      </c>
      <c r="H79" t="s">
        <v>215</v>
      </c>
      <c r="I79" s="192">
        <v>0.85000000000000009</v>
      </c>
      <c r="J79" s="190" t="s">
        <v>216</v>
      </c>
      <c r="K79" s="193">
        <f t="shared" si="0"/>
        <v>1020000.0000000001</v>
      </c>
    </row>
    <row r="80" spans="3:11" ht="16.5" thickBot="1">
      <c r="C80" s="26">
        <v>150000</v>
      </c>
      <c r="D80" s="26">
        <v>999999</v>
      </c>
      <c r="E80" s="35">
        <v>0.85000000000000009</v>
      </c>
      <c r="G80" s="191">
        <v>1200000</v>
      </c>
      <c r="H80" t="s">
        <v>215</v>
      </c>
      <c r="I80" s="192">
        <v>0.85000000000000009</v>
      </c>
      <c r="J80" s="190" t="s">
        <v>216</v>
      </c>
      <c r="K80" s="193">
        <f t="shared" si="0"/>
        <v>1020000.0000000001</v>
      </c>
    </row>
    <row r="81" spans="1:11" ht="15.95">
      <c r="C81" s="194"/>
      <c r="D81" s="194"/>
      <c r="E81" s="195"/>
      <c r="G81" s="191"/>
      <c r="I81" s="192"/>
      <c r="J81" s="190"/>
      <c r="K81" s="193"/>
    </row>
    <row r="82" spans="1:11" ht="17.25" customHeight="1">
      <c r="C82" s="220" t="s">
        <v>217</v>
      </c>
      <c r="D82" s="220"/>
      <c r="E82" s="220"/>
      <c r="F82" s="220"/>
      <c r="G82" s="220"/>
      <c r="H82" s="220"/>
      <c r="I82" s="220"/>
      <c r="J82" s="220"/>
      <c r="K82" s="220"/>
    </row>
    <row r="83" spans="1:11" ht="17.25" customHeight="1">
      <c r="C83" s="220"/>
      <c r="D83" s="220"/>
      <c r="E83" s="220"/>
      <c r="F83" s="220"/>
      <c r="G83" s="220"/>
      <c r="H83" s="220"/>
      <c r="I83" s="220"/>
      <c r="J83" s="220"/>
      <c r="K83" s="220"/>
    </row>
    <row r="84" spans="1:11" ht="15.95">
      <c r="C84" s="194"/>
      <c r="D84" s="194"/>
      <c r="E84" s="195"/>
      <c r="G84" s="191"/>
      <c r="I84" s="192"/>
      <c r="J84" s="190"/>
      <c r="K84" s="193"/>
    </row>
    <row r="86" spans="1:11">
      <c r="A86">
        <v>7</v>
      </c>
      <c r="B86" t="s">
        <v>218</v>
      </c>
    </row>
    <row r="89" spans="1:11">
      <c r="A89">
        <v>8</v>
      </c>
      <c r="B89" t="s">
        <v>219</v>
      </c>
    </row>
    <row r="100" spans="1:2">
      <c r="A100">
        <v>9</v>
      </c>
      <c r="B100" t="s">
        <v>220</v>
      </c>
    </row>
    <row r="123" spans="2:2">
      <c r="B123" t="s">
        <v>221</v>
      </c>
    </row>
    <row r="124" spans="2:2">
      <c r="B124" t="s">
        <v>222</v>
      </c>
    </row>
    <row r="140" spans="2:3">
      <c r="B140" t="s">
        <v>223</v>
      </c>
    </row>
    <row r="142" spans="2:3">
      <c r="B142" t="s">
        <v>29</v>
      </c>
      <c r="C142" s="188">
        <v>0.85</v>
      </c>
    </row>
    <row r="143" spans="2:3">
      <c r="B143" t="s">
        <v>29</v>
      </c>
      <c r="C143" s="188">
        <v>0.9</v>
      </c>
    </row>
    <row r="144" spans="2:3">
      <c r="B144" t="s">
        <v>224</v>
      </c>
      <c r="C144" s="189">
        <v>1200000</v>
      </c>
    </row>
    <row r="145" spans="2:3">
      <c r="B145" t="s">
        <v>225</v>
      </c>
      <c r="C145">
        <v>9.2949999999999999</v>
      </c>
    </row>
  </sheetData>
  <mergeCells count="2">
    <mergeCell ref="B62:R62"/>
    <mergeCell ref="C82:K8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b69849-0158-49d9-bab8-4ce86f1b6137" xsi:nil="true"/>
    <lcf76f155ced4ddcb4097134ff3c332f xmlns="e45a1bae-509c-4e22-9d19-ecb7724c21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8B80F77B77D40889C83E82E94B9A5" ma:contentTypeVersion="17" ma:contentTypeDescription="Create a new document." ma:contentTypeScope="" ma:versionID="6e0a0a362b5d0b138360a5be94459d8b">
  <xsd:schema xmlns:xsd="http://www.w3.org/2001/XMLSchema" xmlns:xs="http://www.w3.org/2001/XMLSchema" xmlns:p="http://schemas.microsoft.com/office/2006/metadata/properties" xmlns:ns2="e45a1bae-509c-4e22-9d19-ecb7724c21d0" xmlns:ns3="4db69849-0158-49d9-bab8-4ce86f1b6137" targetNamespace="http://schemas.microsoft.com/office/2006/metadata/properties" ma:root="true" ma:fieldsID="9aaa46d99da6241f6f0d1e7a50966ba2" ns2:_="" ns3:_="">
    <xsd:import namespace="e45a1bae-509c-4e22-9d19-ecb7724c21d0"/>
    <xsd:import namespace="4db69849-0158-49d9-bab8-4ce86f1b6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a1bae-509c-4e22-9d19-ecb7724c2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4e8b7c-5474-4d68-925d-d9f1b3b34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9849-0158-49d9-bab8-4ce86f1b61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985b661-3a63-4c81-ad35-6917c371a4da}" ma:internalName="TaxCatchAll" ma:showField="CatchAllData" ma:web="4db69849-0158-49d9-bab8-4ce86f1b6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817728-61E6-4EAB-A12C-8D87C13534D5}"/>
</file>

<file path=customXml/itemProps2.xml><?xml version="1.0" encoding="utf-8"?>
<ds:datastoreItem xmlns:ds="http://schemas.openxmlformats.org/officeDocument/2006/customXml" ds:itemID="{154AD997-4B5B-46B3-A103-08A877B88EFC}"/>
</file>

<file path=customXml/itemProps3.xml><?xml version="1.0" encoding="utf-8"?>
<ds:datastoreItem xmlns:ds="http://schemas.openxmlformats.org/officeDocument/2006/customXml" ds:itemID="{D76D1486-8373-4E2C-AE69-55137B89A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 Yushak</dc:creator>
  <cp:keywords/>
  <dc:description/>
  <cp:lastModifiedBy/>
  <cp:revision/>
  <dcterms:created xsi:type="dcterms:W3CDTF">2024-10-23T05:54:58Z</dcterms:created>
  <dcterms:modified xsi:type="dcterms:W3CDTF">2025-09-01T07:11:34Z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0x010100CE28B80F77B77D40889C83E82E94B9A5</vt:lpwstr>
  </property>
</Properties>
</file>